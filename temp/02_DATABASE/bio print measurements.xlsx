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ASUREMENTS" sheetId="1" r:id="rId5"/>
  </sheets>
  <definedNames/>
  <calcPr/>
</workbook>
</file>

<file path=xl/sharedStrings.xml><?xml version="1.0" encoding="utf-8"?>
<sst xmlns="http://schemas.openxmlformats.org/spreadsheetml/2006/main" count="80" uniqueCount="34">
  <si>
    <t>MEASUREMENTS</t>
  </si>
  <si>
    <t>BIO-SIGNATURE</t>
  </si>
  <si>
    <t>CIRCUMFERENCE</t>
  </si>
  <si>
    <t>Country</t>
  </si>
  <si>
    <t>DATE</t>
  </si>
  <si>
    <t>First name</t>
  </si>
  <si>
    <t>Last name</t>
  </si>
  <si>
    <t>Date of Birth</t>
  </si>
  <si>
    <t>Age</t>
  </si>
  <si>
    <t>Sex</t>
  </si>
  <si>
    <t>Height (cm)</t>
  </si>
  <si>
    <t>WEIGHT</t>
  </si>
  <si>
    <t>CHIN</t>
  </si>
  <si>
    <t>CHEEK</t>
  </si>
  <si>
    <t>PEC</t>
  </si>
  <si>
    <t>TRICEP</t>
  </si>
  <si>
    <t>SUB-SCAP</t>
  </si>
  <si>
    <t>MID-AX</t>
  </si>
  <si>
    <t>SUPRA</t>
  </si>
  <si>
    <t>UMBIL</t>
  </si>
  <si>
    <t>KNEE</t>
  </si>
  <si>
    <t>CALF</t>
  </si>
  <si>
    <t>QUAD</t>
  </si>
  <si>
    <t>HAM</t>
  </si>
  <si>
    <t>SUM</t>
  </si>
  <si>
    <t>BMI</t>
  </si>
  <si>
    <t>BF%</t>
  </si>
  <si>
    <t>Arm (cm)</t>
  </si>
  <si>
    <t>Thigh (cm)</t>
  </si>
  <si>
    <t>Hips (cm)</t>
  </si>
  <si>
    <t>Waist (cm)</t>
  </si>
  <si>
    <t>Shoulder (cm)</t>
  </si>
  <si>
    <t>TOTAL</t>
  </si>
  <si>
    <t>HK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</si>
</sst>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0.0"/>
    <numFmt numFmtId="166" formatCode="0.0000"/>
    <numFmt numFmtId="167" formatCode="0.0000000"/>
    <numFmt numFmtId="168" formatCode="D/M/YYYY"/>
  </numFmts>
  <fonts count="23">
    <font>
      <sz val="10.0"/>
      <color rgb="FF000000"/>
      <name val="Arial"/>
      <scheme val="minor"/>
    </font>
    <font>
      <sz val="11.0"/>
      <color theme="1"/>
      <name val="Calibri"/>
    </font>
    <font>
      <b/>
      <sz val="36.0"/>
      <color rgb="FFFFFFFF"/>
      <name val="Montserrat"/>
    </font>
    <font>
      <sz val="11.0"/>
      <color rgb="FF000000"/>
      <name val="Calibri"/>
    </font>
    <font>
      <b/>
      <color rgb="FF000000"/>
      <name val="Montserrat"/>
    </font>
    <font/>
    <font>
      <sz val="9.0"/>
      <color rgb="FF000000"/>
      <name val="Calibri"/>
    </font>
    <font>
      <b/>
      <u/>
      <sz val="11.0"/>
      <color rgb="FFFFFFFF"/>
      <name val="Montserrat"/>
    </font>
    <font>
      <sz val="11.0"/>
      <color rgb="FFFFFFFF"/>
      <name val="Montserrat"/>
    </font>
    <font>
      <b/>
      <sz val="11.0"/>
      <color rgb="FFFFFFFF"/>
      <name val="Montserrat"/>
    </font>
    <font>
      <b/>
      <color rgb="FFFFFFFF"/>
      <name val="Montserrat"/>
    </font>
    <font>
      <b/>
      <u/>
      <sz val="11.0"/>
      <color rgb="FFFFFFFF"/>
      <name val="Montserrat"/>
    </font>
    <font>
      <b/>
      <u/>
      <sz val="9.0"/>
      <color rgb="FF000000"/>
      <name val="Calibri"/>
    </font>
    <font>
      <sz val="14.0"/>
      <color rgb="FF000000"/>
      <name val="Calibri"/>
    </font>
    <font>
      <sz val="10.0"/>
      <color rgb="FF000000"/>
      <name val="Calibri"/>
    </font>
    <font>
      <sz val="8.0"/>
      <color rgb="FF000000"/>
      <name val="Calibri"/>
    </font>
    <font>
      <b/>
      <sz val="13.0"/>
      <color rgb="FF000000"/>
      <name val="Calibri"/>
    </font>
    <font>
      <b/>
      <sz val="10.0"/>
      <color rgb="FF000000"/>
      <name val="Calibri"/>
    </font>
    <font>
      <b/>
      <color theme="1"/>
      <name val="Montserrat"/>
    </font>
    <font>
      <b/>
      <sz val="11.0"/>
      <color rgb="FF000000"/>
      <name val="Calibri"/>
    </font>
    <font>
      <color rgb="FF000000"/>
      <name val="Calibri"/>
    </font>
    <font>
      <b/>
      <sz val="11.0"/>
      <color theme="1"/>
      <name val="Montserrat"/>
    </font>
    <font>
      <sz val="10.0"/>
      <color rgb="FF000000"/>
      <name val="Helvetica Neue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E9E9E9"/>
        <bgColor rgb="FFE9E9E9"/>
      </patternFill>
    </fill>
    <fill>
      <patternFill patternType="solid">
        <fgColor rgb="FFF3F3F3"/>
        <bgColor rgb="FFF3F3F3"/>
      </patternFill>
    </fill>
  </fills>
  <borders count="26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FFFFFF"/>
      </right>
      <bottom style="thin">
        <color rgb="FFAAAAAA"/>
      </bottom>
    </border>
    <border>
      <left style="thin">
        <color rgb="FFFFFFFF"/>
      </left>
      <right style="thin">
        <color rgb="FFAAAAAA"/>
      </right>
      <bottom style="thin">
        <color rgb="FFAAAAAA"/>
      </bottom>
    </border>
    <border>
      <left style="thin">
        <color rgb="FFAAAAAA"/>
      </left>
      <bottom style="thin">
        <color rgb="FFAAAAAA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AAAAAA"/>
      </right>
      <top style="thin">
        <color rgb="FFAAAAAA"/>
      </top>
    </border>
    <border>
      <left style="thin">
        <color rgb="FFAAAAAA"/>
      </left>
      <right style="thin">
        <color rgb="FFAAAAAA"/>
      </right>
      <top style="thin">
        <color rgb="FFAAAAAA"/>
      </top>
    </border>
    <border>
      <left style="thin">
        <color rgb="FFAAAAAA"/>
      </left>
      <right style="thin">
        <color rgb="FFFFFFFF"/>
      </right>
      <top style="thin">
        <color rgb="FFAAAAAA"/>
      </top>
    </border>
    <border>
      <left style="thin">
        <color rgb="FFFFFFFF"/>
      </left>
      <right style="thin">
        <color rgb="FFAAAAAA"/>
      </right>
      <top style="thin">
        <color rgb="FFAAAAAA"/>
      </top>
    </border>
    <border>
      <left style="thin">
        <color rgb="FFAAAAAA"/>
      </left>
      <top style="thin">
        <color rgb="FFAAAAAA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2" fontId="2" numFmtId="0" xfId="0" applyAlignment="1" applyFont="1">
      <alignment horizontal="center" vertical="center"/>
    </xf>
    <xf borderId="1" fillId="3" fontId="3" numFmtId="0" xfId="0" applyAlignment="1" applyBorder="1" applyFill="1" applyFont="1">
      <alignment shrinkToFit="0" vertical="bottom" wrapText="0"/>
    </xf>
    <xf borderId="2" fillId="3" fontId="4" numFmtId="0" xfId="0" applyAlignment="1" applyBorder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5" fillId="3" fontId="3" numFmtId="0" xfId="0" applyAlignment="1" applyBorder="1" applyFont="1">
      <alignment shrinkToFit="0" vertical="bottom" wrapText="0"/>
    </xf>
    <xf borderId="6" fillId="3" fontId="3" numFmtId="0" xfId="0" applyAlignment="1" applyBorder="1" applyFont="1">
      <alignment shrinkToFit="0" vertical="bottom" wrapText="0"/>
    </xf>
    <xf borderId="7" fillId="3" fontId="3" numFmtId="0" xfId="0" applyAlignment="1" applyBorder="1" applyFont="1">
      <alignment shrinkToFit="0" vertical="bottom" wrapText="0"/>
    </xf>
    <xf borderId="8" fillId="3" fontId="3" numFmtId="0" xfId="0" applyAlignment="1" applyBorder="1" applyFont="1">
      <alignment shrinkToFit="0" vertical="bottom" wrapText="0"/>
    </xf>
    <xf borderId="9" fillId="3" fontId="3" numFmtId="0" xfId="0" applyAlignment="1" applyBorder="1" applyFont="1">
      <alignment shrinkToFit="0" vertical="bottom" wrapText="0"/>
    </xf>
    <xf borderId="4" fillId="3" fontId="4" numFmtId="0" xfId="0" applyAlignment="1" applyBorder="1" applyFont="1">
      <alignment horizontal="center" vertical="center"/>
    </xf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3" fontId="3" numFmtId="0" xfId="0" applyAlignment="1" applyBorder="1" applyFont="1">
      <alignment shrinkToFit="0" vertical="bottom" wrapText="0"/>
    </xf>
    <xf borderId="14" fillId="3" fontId="3" numFmtId="0" xfId="0" applyAlignment="1" applyBorder="1" applyFont="1">
      <alignment shrinkToFit="0" vertical="bottom" wrapText="0"/>
    </xf>
    <xf borderId="15" fillId="3" fontId="3" numFmtId="0" xfId="0" applyAlignment="1" applyBorder="1" applyFont="1">
      <alignment shrinkToFit="0" vertical="bottom" wrapText="0"/>
    </xf>
    <xf borderId="16" fillId="3" fontId="3" numFmtId="0" xfId="0" applyAlignment="1" applyBorder="1" applyFont="1">
      <alignment shrinkToFit="0" vertical="bottom" wrapText="0"/>
    </xf>
    <xf borderId="17" fillId="3" fontId="3" numFmtId="0" xfId="0" applyAlignment="1" applyBorder="1" applyFont="1">
      <alignment shrinkToFit="0" vertical="bottom" wrapText="0"/>
    </xf>
    <xf borderId="12" fillId="3" fontId="4" numFmtId="0" xfId="0" applyAlignment="1" applyBorder="1" applyFont="1">
      <alignment horizontal="center" vertical="center"/>
    </xf>
    <xf borderId="1" fillId="3" fontId="6" numFmtId="49" xfId="0" applyAlignment="1" applyBorder="1" applyFont="1" applyNumberFormat="1">
      <alignment horizontal="center" shrinkToFit="0" vertical="center" wrapText="1"/>
    </xf>
    <xf borderId="18" fillId="2" fontId="7" numFmtId="49" xfId="0" applyAlignment="1" applyBorder="1" applyFont="1" applyNumberFormat="1">
      <alignment horizontal="center" shrinkToFit="0" vertical="center" wrapText="1"/>
    </xf>
    <xf borderId="18" fillId="2" fontId="8" numFmtId="49" xfId="0" applyAlignment="1" applyBorder="1" applyFont="1" applyNumberFormat="1">
      <alignment horizontal="center" shrinkToFit="0" vertical="center" wrapText="1"/>
    </xf>
    <xf borderId="18" fillId="2" fontId="9" numFmtId="49" xfId="0" applyAlignment="1" applyBorder="1" applyFont="1" applyNumberFormat="1">
      <alignment horizontal="center" shrinkToFit="0" vertical="center" wrapText="1"/>
    </xf>
    <xf borderId="18" fillId="2" fontId="10" numFmtId="0" xfId="0" applyAlignment="1" applyBorder="1" applyFont="1">
      <alignment horizontal="center" vertical="center"/>
    </xf>
    <xf borderId="18" fillId="2" fontId="8" numFmtId="0" xfId="0" applyAlignment="1" applyBorder="1" applyFont="1">
      <alignment shrinkToFit="0" vertical="bottom" wrapText="0"/>
    </xf>
    <xf borderId="18" fillId="2" fontId="9" numFmtId="0" xfId="0" applyAlignment="1" applyBorder="1" applyFont="1">
      <alignment horizontal="center" shrinkToFit="0" vertical="center" wrapText="1"/>
    </xf>
    <xf borderId="19" fillId="2" fontId="10" numFmtId="0" xfId="0" applyAlignment="1" applyBorder="1" applyFont="1">
      <alignment horizontal="center" vertical="center"/>
    </xf>
    <xf borderId="20" fillId="2" fontId="10" numFmtId="0" xfId="0" applyAlignment="1" applyBorder="1" applyFont="1">
      <alignment horizontal="center" vertical="center"/>
    </xf>
    <xf borderId="21" fillId="0" fontId="5" numFmtId="0" xfId="0" applyBorder="1" applyFont="1"/>
    <xf borderId="19" fillId="2" fontId="11" numFmtId="49" xfId="0" applyAlignment="1" applyBorder="1" applyFont="1" applyNumberFormat="1">
      <alignment horizontal="center" shrinkToFit="0" vertical="center" wrapText="1"/>
    </xf>
    <xf borderId="0" fillId="4" fontId="12" numFmtId="49" xfId="0" applyAlignment="1" applyFill="1" applyFont="1" applyNumberFormat="1">
      <alignment horizontal="center" shrinkToFit="0" vertical="center" wrapText="1"/>
    </xf>
    <xf borderId="1" fillId="3" fontId="3" numFmtId="49" xfId="0" applyAlignment="1" applyBorder="1" applyFont="1" applyNumberFormat="1">
      <alignment horizontal="center" shrinkToFit="0" vertical="bottom" wrapText="0"/>
    </xf>
    <xf borderId="18" fillId="5" fontId="13" numFmtId="164" xfId="0" applyAlignment="1" applyBorder="1" applyFill="1" applyFont="1" applyNumberFormat="1">
      <alignment horizontal="center" shrinkToFit="0" vertical="bottom" wrapText="0"/>
    </xf>
    <xf borderId="18" fillId="5" fontId="3" numFmtId="49" xfId="0" applyAlignment="1" applyBorder="1" applyFont="1" applyNumberFormat="1">
      <alignment horizontal="center" shrinkToFit="0" vertical="bottom" wrapText="0"/>
    </xf>
    <xf borderId="18" fillId="5" fontId="14" numFmtId="49" xfId="0" applyAlignment="1" applyBorder="1" applyFont="1" applyNumberFormat="1">
      <alignment horizontal="center" shrinkToFit="0" vertical="bottom" wrapText="0"/>
    </xf>
    <xf borderId="18" fillId="5" fontId="15" numFmtId="165" xfId="0" applyAlignment="1" applyBorder="1" applyFont="1" applyNumberFormat="1">
      <alignment horizontal="center" shrinkToFit="0" vertical="bottom" wrapText="0"/>
    </xf>
    <xf borderId="18" fillId="5" fontId="3" numFmtId="0" xfId="0" applyAlignment="1" applyBorder="1" applyFont="1">
      <alignment horizontal="center" shrinkToFit="0" vertical="bottom" wrapText="0"/>
    </xf>
    <xf borderId="18" fillId="5" fontId="16" numFmtId="165" xfId="0" applyAlignment="1" applyBorder="1" applyFont="1" applyNumberFormat="1">
      <alignment horizontal="center" shrinkToFit="0" vertical="bottom" wrapText="0"/>
    </xf>
    <xf borderId="18" fillId="5" fontId="3" numFmtId="165" xfId="0" applyAlignment="1" applyBorder="1" applyFont="1" applyNumberFormat="1">
      <alignment horizontal="center" shrinkToFit="0" vertical="bottom" wrapText="0"/>
    </xf>
    <xf borderId="18" fillId="5" fontId="3" numFmtId="1" xfId="0" applyAlignment="1" applyBorder="1" applyFont="1" applyNumberFormat="1">
      <alignment horizontal="center" shrinkToFit="0" vertical="bottom" wrapText="0"/>
    </xf>
    <xf borderId="18" fillId="0" fontId="3" numFmtId="165" xfId="0" applyAlignment="1" applyBorder="1" applyFont="1" applyNumberFormat="1">
      <alignment horizontal="center" shrinkToFit="0" vertical="bottom" wrapText="0"/>
    </xf>
    <xf borderId="18" fillId="0" fontId="3" numFmtId="2" xfId="0" applyAlignment="1" applyBorder="1" applyFont="1" applyNumberFormat="1">
      <alignment horizontal="center" shrinkToFit="0" vertical="bottom" wrapText="0"/>
    </xf>
    <xf borderId="18" fillId="0" fontId="3" numFmtId="0" xfId="0" applyAlignment="1" applyBorder="1" applyFont="1">
      <alignment horizontal="center" shrinkToFit="0" vertical="bottom" wrapText="0"/>
    </xf>
    <xf borderId="18" fillId="5" fontId="16" numFmtId="165" xfId="0" applyAlignment="1" applyBorder="1" applyFont="1" applyNumberFormat="1">
      <alignment horizontal="center" shrinkToFit="0" vertical="center" wrapText="1"/>
    </xf>
    <xf borderId="18" fillId="0" fontId="14" numFmtId="0" xfId="0" applyAlignment="1" applyBorder="1" applyFont="1">
      <alignment horizontal="center" shrinkToFit="0" vertical="center" wrapText="1"/>
    </xf>
    <xf borderId="18" fillId="0" fontId="14" numFmtId="165" xfId="0" applyAlignment="1" applyBorder="1" applyFont="1" applyNumberFormat="1">
      <alignment horizontal="center" shrinkToFit="0" vertical="center" wrapText="1"/>
    </xf>
    <xf borderId="18" fillId="0" fontId="14" numFmtId="2" xfId="0" applyAlignment="1" applyBorder="1" applyFont="1" applyNumberFormat="1">
      <alignment horizontal="center" shrinkToFit="0" vertical="center" wrapText="1"/>
    </xf>
    <xf borderId="18" fillId="0" fontId="14" numFmtId="166" xfId="0" applyAlignment="1" applyBorder="1" applyFont="1" applyNumberFormat="1">
      <alignment horizontal="center" shrinkToFit="0" vertical="center" wrapText="1"/>
    </xf>
    <xf borderId="18" fillId="0" fontId="14" numFmtId="167" xfId="0" applyAlignment="1" applyBorder="1" applyFont="1" applyNumberFormat="1">
      <alignment horizontal="center" shrinkToFit="0" vertical="center" wrapText="1"/>
    </xf>
    <xf borderId="18" fillId="0" fontId="17" numFmtId="165" xfId="0" applyAlignment="1" applyBorder="1" applyFont="1" applyNumberFormat="1">
      <alignment horizontal="center" shrinkToFit="0" vertical="center" wrapText="1"/>
    </xf>
    <xf borderId="18" fillId="5" fontId="3" numFmtId="0" xfId="0" applyAlignment="1" applyBorder="1" applyFont="1">
      <alignment shrinkToFit="0" vertical="bottom" wrapText="0"/>
    </xf>
    <xf borderId="18" fillId="0" fontId="3" numFmtId="0" xfId="0" applyAlignment="1" applyBorder="1" applyFont="1">
      <alignment shrinkToFit="0" vertical="bottom" wrapText="0"/>
    </xf>
    <xf borderId="22" fillId="6" fontId="18" numFmtId="165" xfId="0" applyAlignment="1" applyBorder="1" applyFill="1" applyFont="1" applyNumberFormat="1">
      <alignment horizontal="center" vertical="center"/>
    </xf>
    <xf borderId="23" fillId="0" fontId="5" numFmtId="0" xfId="0" applyBorder="1" applyFont="1"/>
    <xf borderId="0" fillId="3" fontId="3" numFmtId="0" xfId="0" applyAlignment="1" applyFont="1">
      <alignment shrinkToFit="0" vertical="bottom" wrapText="0"/>
    </xf>
    <xf borderId="18" fillId="0" fontId="13" numFmtId="164" xfId="0" applyAlignment="1" applyBorder="1" applyFont="1" applyNumberFormat="1">
      <alignment horizontal="center" shrinkToFit="0" vertical="bottom" wrapText="0"/>
    </xf>
    <xf borderId="18" fillId="0" fontId="3" numFmtId="49" xfId="0" applyAlignment="1" applyBorder="1" applyFont="1" applyNumberFormat="1">
      <alignment horizontal="center" shrinkToFit="0" vertical="bottom" wrapText="0"/>
    </xf>
    <xf borderId="18" fillId="0" fontId="14" numFmtId="49" xfId="0" applyAlignment="1" applyBorder="1" applyFont="1" applyNumberFormat="1">
      <alignment horizontal="center" shrinkToFit="0" vertical="bottom" wrapText="0"/>
    </xf>
    <xf borderId="18" fillId="0" fontId="15" numFmtId="165" xfId="0" applyAlignment="1" applyBorder="1" applyFont="1" applyNumberFormat="1">
      <alignment horizontal="center" shrinkToFit="0" vertical="bottom" wrapText="0"/>
    </xf>
    <xf borderId="18" fillId="0" fontId="16" numFmtId="165" xfId="0" applyAlignment="1" applyBorder="1" applyFont="1" applyNumberFormat="1">
      <alignment horizontal="center" shrinkToFit="0" vertical="bottom" wrapText="0"/>
    </xf>
    <xf borderId="18" fillId="7" fontId="3" numFmtId="165" xfId="0" applyAlignment="1" applyBorder="1" applyFill="1" applyFont="1" applyNumberFormat="1">
      <alignment horizontal="center" shrinkToFit="0" vertical="bottom" wrapText="0"/>
    </xf>
    <xf borderId="18" fillId="0" fontId="3" numFmtId="1" xfId="0" applyAlignment="1" applyBorder="1" applyFont="1" applyNumberFormat="1">
      <alignment horizontal="center" shrinkToFit="0" vertical="bottom" wrapText="0"/>
    </xf>
    <xf borderId="18" fillId="0" fontId="16" numFmtId="165" xfId="0" applyAlignment="1" applyBorder="1" applyFont="1" applyNumberFormat="1">
      <alignment horizontal="center" shrinkToFit="0" vertical="center" wrapText="1"/>
    </xf>
    <xf borderId="22" fillId="7" fontId="18" numFmtId="165" xfId="0" applyAlignment="1" applyBorder="1" applyFont="1" applyNumberFormat="1">
      <alignment horizontal="center" vertical="center"/>
    </xf>
    <xf borderId="0" fillId="3" fontId="3" numFmtId="0" xfId="0" applyAlignment="1" applyFont="1">
      <alignment horizontal="center" shrinkToFit="0" vertical="bottom" wrapText="0"/>
    </xf>
    <xf borderId="18" fillId="0" fontId="13" numFmtId="168" xfId="0" applyAlignment="1" applyBorder="1" applyFont="1" applyNumberFormat="1">
      <alignment horizontal="center" shrinkToFit="0" vertical="bottom" wrapText="0"/>
    </xf>
    <xf borderId="18" fillId="0" fontId="13" numFmtId="0" xfId="0" applyAlignment="1" applyBorder="1" applyFont="1">
      <alignment horizontal="center" shrinkToFit="0" vertical="bottom" wrapText="0"/>
    </xf>
    <xf borderId="18" fillId="0" fontId="16" numFmtId="0" xfId="0" applyAlignment="1" applyBorder="1" applyFont="1">
      <alignment horizontal="center" shrinkToFit="0" vertical="center" wrapText="1"/>
    </xf>
    <xf borderId="18" fillId="0" fontId="14" numFmtId="49" xfId="0" applyAlignment="1" applyBorder="1" applyFont="1" applyNumberFormat="1">
      <alignment horizontal="center" shrinkToFit="0" vertical="center" wrapText="1"/>
    </xf>
    <xf borderId="18" fillId="0" fontId="15" numFmtId="168" xfId="0" applyAlignment="1" applyBorder="1" applyFont="1" applyNumberFormat="1">
      <alignment horizontal="center" shrinkToFit="0" vertical="bottom" wrapText="0"/>
    </xf>
    <xf borderId="18" fillId="0" fontId="14" numFmtId="168" xfId="0" applyAlignment="1" applyBorder="1" applyFont="1" applyNumberFormat="1">
      <alignment horizontal="center" shrinkToFit="0" vertical="center" wrapText="1"/>
    </xf>
    <xf borderId="18" fillId="0" fontId="17" numFmtId="0" xfId="0" applyAlignment="1" applyBorder="1" applyFont="1">
      <alignment horizontal="center" shrinkToFit="0" vertical="center" wrapText="1"/>
    </xf>
    <xf borderId="18" fillId="0" fontId="19" numFmtId="0" xfId="0" applyAlignment="1" applyBorder="1" applyFont="1">
      <alignment shrinkToFit="0" vertical="bottom" wrapText="0"/>
    </xf>
    <xf borderId="1" fillId="3" fontId="3" numFmtId="0" xfId="0" applyAlignment="1" applyBorder="1" applyFont="1">
      <alignment horizontal="center" shrinkToFit="0" vertical="bottom" wrapText="0"/>
    </xf>
    <xf borderId="18" fillId="7" fontId="1" numFmtId="168" xfId="0" applyAlignment="1" applyBorder="1" applyFont="1" applyNumberFormat="1">
      <alignment horizontal="center" vertical="bottom"/>
    </xf>
    <xf borderId="23" fillId="7" fontId="1" numFmtId="49" xfId="0" applyAlignment="1" applyBorder="1" applyFont="1" applyNumberFormat="1">
      <alignment horizontal="center" vertical="bottom"/>
    </xf>
    <xf borderId="23" fillId="7" fontId="15" numFmtId="168" xfId="0" applyAlignment="1" applyBorder="1" applyFont="1" applyNumberFormat="1">
      <alignment horizontal="center" vertical="bottom"/>
    </xf>
    <xf borderId="23" fillId="7" fontId="1" numFmtId="165" xfId="0" applyAlignment="1" applyBorder="1" applyFont="1" applyNumberFormat="1">
      <alignment horizontal="center" vertical="bottom"/>
    </xf>
    <xf borderId="23" fillId="7" fontId="3" numFmtId="2" xfId="0" applyAlignment="1" applyBorder="1" applyFont="1" applyNumberFormat="1">
      <alignment horizontal="center" vertical="bottom"/>
    </xf>
    <xf borderId="23" fillId="7" fontId="3" numFmtId="165" xfId="0" applyAlignment="1" applyBorder="1" applyFont="1" applyNumberFormat="1">
      <alignment horizontal="center" vertical="bottom"/>
    </xf>
    <xf borderId="23" fillId="7" fontId="1" numFmtId="2" xfId="0" applyAlignment="1" applyBorder="1" applyFont="1" applyNumberFormat="1">
      <alignment horizontal="center" vertical="bottom"/>
    </xf>
    <xf borderId="23" fillId="7" fontId="16" numFmtId="165" xfId="0" applyAlignment="1" applyBorder="1" applyFont="1" applyNumberFormat="1">
      <alignment horizontal="center" shrinkToFit="0" wrapText="1"/>
    </xf>
    <xf borderId="23" fillId="7" fontId="20" numFmtId="165" xfId="0" applyAlignment="1" applyBorder="1" applyFont="1" applyNumberFormat="1">
      <alignment horizontal="center" shrinkToFit="0" wrapText="1"/>
    </xf>
    <xf borderId="23" fillId="7" fontId="20" numFmtId="168" xfId="0" applyAlignment="1" applyBorder="1" applyFont="1" applyNumberFormat="1">
      <alignment horizontal="center" shrinkToFit="0" wrapText="1"/>
    </xf>
    <xf borderId="23" fillId="7" fontId="20" numFmtId="2" xfId="0" applyAlignment="1" applyBorder="1" applyFont="1" applyNumberFormat="1">
      <alignment horizontal="center" shrinkToFit="0" wrapText="1"/>
    </xf>
    <xf borderId="23" fillId="7" fontId="1" numFmtId="165" xfId="0" applyAlignment="1" applyBorder="1" applyFont="1" applyNumberFormat="1">
      <alignment horizontal="center"/>
    </xf>
    <xf borderId="23" fillId="7" fontId="20" numFmtId="0" xfId="0" applyAlignment="1" applyBorder="1" applyFont="1">
      <alignment horizontal="center" shrinkToFit="0" wrapText="1"/>
    </xf>
    <xf borderId="23" fillId="7" fontId="1" numFmtId="49" xfId="0" applyAlignment="1" applyBorder="1" applyFont="1" applyNumberFormat="1">
      <alignment horizontal="center"/>
    </xf>
    <xf borderId="23" fillId="7" fontId="1" numFmtId="0" xfId="0" applyAlignment="1" applyBorder="1" applyFont="1">
      <alignment horizontal="center" vertical="bottom"/>
    </xf>
    <xf borderId="23" fillId="7" fontId="3" numFmtId="0" xfId="0" applyAlignment="1" applyBorder="1" applyFont="1">
      <alignment horizontal="center" vertical="bottom"/>
    </xf>
    <xf borderId="24" fillId="6" fontId="21" numFmtId="165" xfId="0" applyAlignment="1" applyBorder="1" applyFont="1" applyNumberFormat="1">
      <alignment horizontal="center"/>
    </xf>
    <xf borderId="23" fillId="7" fontId="3" numFmtId="1" xfId="0" applyAlignment="1" applyBorder="1" applyFont="1" applyNumberFormat="1">
      <alignment horizontal="center" vertical="bottom"/>
    </xf>
    <xf borderId="23" fillId="7" fontId="20" numFmtId="1" xfId="0" applyAlignment="1" applyBorder="1" applyFont="1" applyNumberFormat="1">
      <alignment horizontal="center" shrinkToFit="0" wrapText="1"/>
    </xf>
    <xf borderId="24" fillId="7" fontId="21" numFmtId="165" xfId="0" applyAlignment="1" applyBorder="1" applyFont="1" applyNumberFormat="1">
      <alignment horizontal="center"/>
    </xf>
    <xf borderId="0" fillId="0" fontId="22" numFmtId="0" xfId="0" applyAlignment="1" applyFont="1">
      <alignment shrinkToFit="0" vertical="top" wrapText="1"/>
    </xf>
    <xf borderId="25" fillId="3" fontId="18" numFmtId="165" xfId="0" applyAlignment="1" applyBorder="1" applyFont="1" applyNumberFormat="1">
      <alignment horizontal="center" vertical="center"/>
    </xf>
    <xf borderId="25" fillId="0" fontId="5" numFmtId="0" xfId="0" applyBorder="1" applyFont="1"/>
    <xf borderId="0" fillId="3" fontId="18" numFmtId="165" xfId="0" applyAlignment="1" applyFont="1" applyNumberFormat="1">
      <alignment horizontal="center" vertical="center"/>
    </xf>
    <xf borderId="0" fillId="3" fontId="22" numFmtId="0" xfId="0" applyAlignment="1" applyFont="1">
      <alignment shrinkToFit="0" vertical="top" wrapText="1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9E9E9"/>
          <bgColor rgb="FFE9E9E9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66FF"/>
          <bgColor rgb="FFFF66FF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FF0000"/>
      </font>
      <fill>
        <patternFill patternType="solid">
          <fgColor rgb="FFE2EEDA"/>
          <bgColor rgb="FFE2EEDA"/>
        </patternFill>
      </fill>
      <border/>
    </dxf>
    <dxf>
      <font/>
      <fill>
        <patternFill patternType="solid">
          <fgColor rgb="FFFFF0F0"/>
          <bgColor rgb="FFFFF0F0"/>
        </patternFill>
      </fill>
      <border/>
    </dxf>
    <dxf>
      <font>
        <color rgb="FFFFFFFF"/>
      </font>
      <fill>
        <patternFill patternType="solid">
          <fgColor rgb="FFFF7D7D"/>
          <bgColor rgb="FFFF7D7D"/>
        </patternFill>
      </fill>
      <border/>
    </dxf>
    <dxf>
      <font>
        <color rgb="FFFFFFFF"/>
      </font>
      <fill>
        <patternFill patternType="solid">
          <fgColor rgb="FFFF6464"/>
          <bgColor rgb="FFFF6464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  <tableStyles count="1">
    <tableStyle count="3" pivot="0" name="MEASUREMENT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11:DU60" displayName="Table_1" name="Table_1" id="1">
  <tableColumns count="1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</tableColumns>
  <tableStyleInfo name="MEASUREMEN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pageSetUpPr fitToPage="1"/>
  </sheetPr>
  <sheetViews>
    <sheetView showGridLines="0" workbookViewId="0"/>
  </sheetViews>
  <sheetFormatPr customHeight="1" defaultColWidth="12.63" defaultRowHeight="15.75"/>
  <cols>
    <col customWidth="1" hidden="1" min="1" max="1" width="7.75"/>
    <col customWidth="1" min="2" max="2" width="17.0"/>
    <col customWidth="1" hidden="1" min="3" max="5" width="7.75"/>
    <col customWidth="1" hidden="1" min="6" max="6" width="8.13"/>
    <col customWidth="1" hidden="1" min="7" max="7" width="5.0"/>
    <col customWidth="1" min="8" max="8" width="7.88"/>
    <col customWidth="1" min="9" max="9" width="9.0"/>
    <col customWidth="1" min="10" max="10" width="7.5"/>
    <col customWidth="1" min="11" max="11" width="7.25"/>
    <col customWidth="1" min="12" max="12" width="7.38"/>
    <col customWidth="1" min="13" max="13" width="9.25"/>
    <col customWidth="1" min="14" max="14" width="11.25"/>
    <col customWidth="1" min="15" max="15" width="8.75"/>
    <col customWidth="1" min="16" max="16" width="8.25"/>
    <col customWidth="1" min="17" max="17" width="8.0"/>
    <col customWidth="1" min="18" max="18" width="8.25"/>
    <col customWidth="1" min="19" max="19" width="7.0"/>
    <col customWidth="1" min="20" max="20" width="7.25"/>
    <col customWidth="1" min="21" max="21" width="7.63"/>
    <col customWidth="1" min="22" max="22" width="7.75"/>
    <col customWidth="1" hidden="1" min="23" max="23" width="7.75"/>
    <col customWidth="1" min="24" max="24" width="7.63"/>
    <col customWidth="1" hidden="1" min="25" max="38" width="7.75"/>
    <col customWidth="1" min="39" max="39" width="9.0"/>
    <col customWidth="1" hidden="1" min="40" max="118" width="7.75"/>
    <col customWidth="1" min="119" max="119" width="11.63"/>
    <col customWidth="1" min="120" max="120" width="13.0"/>
    <col customWidth="1" min="121" max="121" width="11.75"/>
    <col customWidth="1" min="122" max="122" width="12.13"/>
    <col customWidth="1" min="123" max="123" width="15.38"/>
    <col customWidth="1" hidden="1" min="124" max="125" width="7.75"/>
    <col customWidth="1" min="126" max="127" width="8.25"/>
    <col customWidth="1" hidden="1" min="128" max="128" width="7.75"/>
  </cols>
  <sheetData>
    <row r="1" ht="15.0" customHeight="1">
      <c r="A1" s="1"/>
      <c r="B1" s="2" t="s">
        <v>0</v>
      </c>
      <c r="DV1" s="2"/>
      <c r="DW1" s="2"/>
      <c r="DX1" s="2"/>
    </row>
    <row r="2" ht="18.0" customHeight="1">
      <c r="A2" s="1"/>
      <c r="DV2" s="2"/>
      <c r="DW2" s="2"/>
      <c r="DX2" s="2"/>
    </row>
    <row r="3" ht="18.0" hidden="1" customHeight="1">
      <c r="A3" s="1"/>
      <c r="DV3" s="2"/>
      <c r="DW3" s="2"/>
      <c r="DX3" s="2"/>
    </row>
    <row r="4" ht="21.0" customHeight="1">
      <c r="A4" s="1"/>
      <c r="DV4" s="2"/>
      <c r="DW4" s="2"/>
      <c r="DX4" s="2"/>
    </row>
    <row r="5" ht="21.0" customHeight="1">
      <c r="A5" s="1"/>
      <c r="DV5" s="2"/>
      <c r="DW5" s="2"/>
      <c r="DX5" s="2"/>
    </row>
    <row r="6" ht="18.75" customHeight="1">
      <c r="A6" s="1"/>
      <c r="DV6" s="2"/>
      <c r="DW6" s="2"/>
      <c r="DX6" s="2"/>
    </row>
    <row r="7" ht="25.5" customHeight="1">
      <c r="A7" s="1"/>
      <c r="DV7" s="2"/>
      <c r="DW7" s="2"/>
      <c r="DX7" s="2"/>
    </row>
    <row r="8" ht="18.0" customHeight="1">
      <c r="A8" s="3"/>
      <c r="B8" s="4" t="s">
        <v>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6"/>
      <c r="AN8" s="7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9"/>
      <c r="BA8" s="10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11"/>
      <c r="DO8" s="4" t="s">
        <v>2</v>
      </c>
      <c r="DP8" s="5"/>
      <c r="DQ8" s="5"/>
      <c r="DR8" s="5"/>
      <c r="DS8" s="5"/>
      <c r="DT8" s="5"/>
      <c r="DU8" s="5"/>
      <c r="DV8" s="5"/>
      <c r="DW8" s="5"/>
      <c r="DX8" s="12"/>
    </row>
    <row r="9" ht="18.0" customHeight="1">
      <c r="A9" s="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5"/>
      <c r="AN9" s="16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8"/>
      <c r="BA9" s="19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20"/>
      <c r="DO9" s="13"/>
      <c r="DP9" s="14"/>
      <c r="DQ9" s="14"/>
      <c r="DR9" s="14"/>
      <c r="DS9" s="14"/>
      <c r="DT9" s="14"/>
      <c r="DU9" s="14"/>
      <c r="DV9" s="14"/>
      <c r="DW9" s="14"/>
      <c r="DX9" s="21"/>
    </row>
    <row r="10" ht="28.5" customHeight="1">
      <c r="A10" s="22" t="s">
        <v>3</v>
      </c>
      <c r="B10" s="23" t="s">
        <v>4</v>
      </c>
      <c r="C10" s="24" t="s">
        <v>5</v>
      </c>
      <c r="D10" s="24" t="s">
        <v>6</v>
      </c>
      <c r="E10" s="24" t="s">
        <v>7</v>
      </c>
      <c r="F10" s="23" t="s">
        <v>8</v>
      </c>
      <c r="G10" s="23" t="s">
        <v>9</v>
      </c>
      <c r="H10" s="25" t="s">
        <v>10</v>
      </c>
      <c r="I10" s="26" t="s">
        <v>11</v>
      </c>
      <c r="J10" s="26" t="s">
        <v>12</v>
      </c>
      <c r="K10" s="26" t="s">
        <v>13</v>
      </c>
      <c r="L10" s="26" t="s">
        <v>14</v>
      </c>
      <c r="M10" s="26" t="s">
        <v>15</v>
      </c>
      <c r="N10" s="26" t="s">
        <v>16</v>
      </c>
      <c r="O10" s="26" t="s">
        <v>17</v>
      </c>
      <c r="P10" s="26" t="s">
        <v>18</v>
      </c>
      <c r="Q10" s="26" t="s">
        <v>19</v>
      </c>
      <c r="R10" s="26" t="s">
        <v>20</v>
      </c>
      <c r="S10" s="26" t="s">
        <v>21</v>
      </c>
      <c r="T10" s="26" t="s">
        <v>22</v>
      </c>
      <c r="U10" s="26" t="s">
        <v>23</v>
      </c>
      <c r="V10" s="26" t="s">
        <v>24</v>
      </c>
      <c r="W10" s="24"/>
      <c r="X10" s="26" t="s">
        <v>25</v>
      </c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6" t="s">
        <v>26</v>
      </c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7"/>
      <c r="AZ10" s="27"/>
      <c r="BA10" s="28"/>
      <c r="BB10" s="24"/>
      <c r="BC10" s="24"/>
      <c r="BD10" s="24"/>
      <c r="BE10" s="27"/>
      <c r="BF10" s="24"/>
      <c r="BG10" s="24"/>
      <c r="BH10" s="27"/>
      <c r="BI10" s="24"/>
      <c r="BJ10" s="24"/>
      <c r="BK10" s="24"/>
      <c r="BL10" s="24"/>
      <c r="BM10" s="24"/>
      <c r="BN10" s="24"/>
      <c r="BO10" s="24"/>
      <c r="BP10" s="24"/>
      <c r="BQ10" s="27"/>
      <c r="BR10" s="27"/>
      <c r="BS10" s="27"/>
      <c r="BT10" s="27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5"/>
      <c r="CL10" s="25"/>
      <c r="CM10" s="27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9" t="s">
        <v>27</v>
      </c>
      <c r="DP10" s="29" t="s">
        <v>28</v>
      </c>
      <c r="DQ10" s="29" t="s">
        <v>29</v>
      </c>
      <c r="DR10" s="29" t="s">
        <v>30</v>
      </c>
      <c r="DS10" s="30" t="s">
        <v>31</v>
      </c>
      <c r="DT10" s="31"/>
      <c r="DU10" s="32"/>
      <c r="DV10" s="30" t="s">
        <v>32</v>
      </c>
      <c r="DW10" s="31"/>
      <c r="DX10" s="33"/>
    </row>
    <row r="11" ht="18.75" customHeight="1">
      <c r="A11" s="34" t="s">
        <v>33</v>
      </c>
      <c r="B11" s="35"/>
      <c r="C11" s="36"/>
      <c r="D11" s="36"/>
      <c r="E11" s="37"/>
      <c r="F11" s="38"/>
      <c r="G11" s="36"/>
      <c r="H11" s="39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39"/>
      <c r="U11" s="41"/>
      <c r="V11" s="41">
        <f t="shared" ref="V11:V60" si="10">SUM(J11:U11)</f>
        <v>0</v>
      </c>
      <c r="W11" s="39" t="str">
        <f t="shared" ref="W11:W60" si="11">X11/AS11</f>
        <v>#DIV/0!</v>
      </c>
      <c r="X11" s="42" t="str">
        <f t="shared" ref="X11:X60" si="12">I11/(H11*0.02)</f>
        <v>#DIV/0!</v>
      </c>
      <c r="Y11" s="43">
        <f t="shared" ref="Y11:Y60" si="13">M11+P11+T11</f>
        <v>0</v>
      </c>
      <c r="Z11" s="43">
        <f t="shared" ref="Z11:Z60" si="14">L11+M11+N11+O11+P11+Q11+T11</f>
        <v>0</v>
      </c>
      <c r="AA11" s="43">
        <f t="shared" ref="AA11:AA60" si="15">J11+K11+L11+M11+N11+O11+P11+Q11+R11+S11</f>
        <v>0</v>
      </c>
      <c r="AB11" s="43">
        <f t="shared" ref="AB11:AB60" si="16">J11+K11+L11+M11+N11+O11+P11+Q11+R11+S11+T11+U11</f>
        <v>0</v>
      </c>
      <c r="AC11" s="43">
        <f t="shared" ref="AC11:AC60" si="17">J11+K11+L11+M11+N11+O11+P11+Q11</f>
        <v>0</v>
      </c>
      <c r="AD11" s="43">
        <f t="shared" ref="AD11:AD60" si="18">R11+S11+T11+U11</f>
        <v>0</v>
      </c>
      <c r="AE11" s="44"/>
      <c r="AF11" s="45" t="str">
        <f t="shared" ref="AF11:AF60" si="19">N11/M11</f>
        <v>#DIV/0!</v>
      </c>
      <c r="AG11" s="45" t="str">
        <f t="shared" ref="AG11:AG60" si="20">((N11+P11)/2)/M11</f>
        <v>#DIV/0!</v>
      </c>
      <c r="AH11" s="45" t="str">
        <f t="shared" ref="AH11:AH60" si="21">T11/S11</f>
        <v>#DIV/0!</v>
      </c>
      <c r="AI11" s="45" t="str">
        <f t="shared" ref="AI11:AI60" si="22">(U11+T11+S11)/(Q11+P11+O11+N11)</f>
        <v>#DIV/0!</v>
      </c>
      <c r="AJ11" s="45" t="str">
        <f t="shared" ref="AJ11:AJ60" si="23">((J11+K11+L11+M11+N11+O11+P11+Q11)/(T11+U11+R11+S11))/1.75</f>
        <v>#DIV/0!</v>
      </c>
      <c r="AK11" s="44"/>
      <c r="AL11" s="45" t="str">
        <f t="shared" ref="AL11:AL60" si="24">BO11/(N11+O11+P11)</f>
        <v>#DIV/0!</v>
      </c>
      <c r="AM11" s="46" t="str">
        <f t="shared" ref="AM11:AM60" si="25">POWER(ABS((((((AA11-40)/20)*((POWER(I11,0.425))*(POWER(H11,0.725))*71.74*0.739)/10000)/I11)-0.003)),0.5)*100*0.7</f>
        <v>#DIV/0!</v>
      </c>
      <c r="AN11" s="47" t="str">
        <f t="shared" ref="AN11:AN60" si="26">(495/(1.1614-(0.05*LOG(AB11)))-(0.000506*F11))-450</f>
        <v>#NUM!</v>
      </c>
      <c r="AO11" s="47" t="str">
        <f t="shared" ref="AO11:AO60" si="27">501/((1.16-(0.045*LOG(AB11)))-(0.000506*F11))-457</f>
        <v>#NUM!</v>
      </c>
      <c r="AP11" s="48">
        <f t="shared" ref="AP11:AP60" si="28">0.465+(0.18*Z11)-(0.0002406*Z11*Z11)+(0.06619*F11)</f>
        <v>0.465</v>
      </c>
      <c r="AQ11" s="48" t="str">
        <f t="shared" ref="AQ11:AQ60" si="29">AP11-AM11</f>
        <v>#DIV/0!</v>
      </c>
      <c r="AR11" s="49" t="str">
        <f t="shared" ref="AR11:AR60" si="30">AP11/AM11</f>
        <v>#DIV/0!</v>
      </c>
      <c r="AS11" s="48"/>
      <c r="AT11" s="48" t="str">
        <f t="shared" ref="AT11:AT60" si="31">AS11-AM11</f>
        <v>#DIV/0!</v>
      </c>
      <c r="AU11" s="47" t="str">
        <f t="shared" ref="AU11:AU60" si="32">H11</f>
        <v/>
      </c>
      <c r="AV11" s="48">
        <f t="shared" ref="AV11:AV60" si="33">BQ$20+((AU11-BR$20)/BS$20)</f>
        <v>-15</v>
      </c>
      <c r="AW11" s="48" t="str">
        <f t="shared" ref="AW11:AW60" si="34">I11</f>
        <v/>
      </c>
      <c r="AX11" s="49" t="str">
        <f t="shared" ref="AX11:AX60" si="35">POWER((AV11/AW11),BR$19)</f>
        <v>#DIV/0!</v>
      </c>
      <c r="AY11" s="50">
        <f t="shared" ref="AY11:AY60" si="36">((BQ$17-AU11)/BR$17)</f>
        <v>0.4375</v>
      </c>
      <c r="AZ11" s="51">
        <f t="shared" ref="AZ11:AZ60" si="37">(BR$18/((BQ$18+AY11)))</f>
        <v>0.6956521739</v>
      </c>
      <c r="BA11" s="52"/>
      <c r="BB11" s="48"/>
      <c r="BC11" s="48"/>
      <c r="BD11" s="48" t="str">
        <f t="shared" ref="BD11:BD60" si="38">BH11+BI11+BJ11+BK11+BF11+((BG11+BN11)*AX11)</f>
        <v>#DIV/0!</v>
      </c>
      <c r="BE11" s="48" t="str">
        <f t="shared" ref="BE11:BE60" si="39">AT11-AQ11</f>
        <v>#DIV/0!</v>
      </c>
      <c r="BF11" s="48" t="str">
        <f t="shared" ref="BF11:BK11" si="1">L11</f>
        <v/>
      </c>
      <c r="BG11" s="48" t="str">
        <f t="shared" si="1"/>
        <v/>
      </c>
      <c r="BH11" s="48" t="str">
        <f t="shared" si="1"/>
        <v/>
      </c>
      <c r="BI11" s="48" t="str">
        <f t="shared" si="1"/>
        <v/>
      </c>
      <c r="BJ11" s="48" t="str">
        <f t="shared" si="1"/>
        <v/>
      </c>
      <c r="BK11" s="48" t="str">
        <f t="shared" si="1"/>
        <v/>
      </c>
      <c r="BL11" s="48" t="str">
        <f t="shared" ref="BL11:BL60" si="41">T11</f>
        <v/>
      </c>
      <c r="BM11" s="48">
        <f t="shared" ref="BM11:BM60" si="42">U11/1.2</f>
        <v>0</v>
      </c>
      <c r="BN11" s="48">
        <f t="shared" ref="BN11:BN60" si="43">(MAX(BL11:BM11)+BL11)/BS$19</f>
        <v>0</v>
      </c>
      <c r="BO11" s="48">
        <f t="shared" ref="BO11:BO60" si="44">SUM(BF11:BK11)+BN11</f>
        <v>0</v>
      </c>
      <c r="BP11" s="47" t="str">
        <f t="shared" ref="BP11:BP60" si="45">BO11/Z11</f>
        <v>#DIV/0!</v>
      </c>
      <c r="BQ11" s="45">
        <v>-1.0</v>
      </c>
      <c r="BR11" s="45">
        <v>0.195</v>
      </c>
      <c r="BS11" s="45">
        <v>2.4E-4</v>
      </c>
      <c r="BT11" s="47" t="str">
        <f t="shared" ref="BT11:BT60" si="46">AO11/AN11</f>
        <v>#NUM!</v>
      </c>
      <c r="BU11" s="48"/>
      <c r="BV11" s="48">
        <f t="shared" ref="BV11:BV60" si="47">(P11*0.74)+3</f>
        <v>3</v>
      </c>
      <c r="BW11" s="48" t="str">
        <f t="shared" ref="BW11:CA11" si="2">MAX(($BU11*BW$58)+BW$59,2)</f>
        <v>#REF!</v>
      </c>
      <c r="BX11" s="48" t="str">
        <f t="shared" si="2"/>
        <v>#REF!</v>
      </c>
      <c r="BY11" s="48" t="str">
        <f t="shared" si="2"/>
        <v>#REF!</v>
      </c>
      <c r="BZ11" s="48" t="str">
        <f t="shared" si="2"/>
        <v>#REF!</v>
      </c>
      <c r="CA11" s="48" t="str">
        <f t="shared" si="2"/>
        <v>#REF!</v>
      </c>
      <c r="CB11" s="48" t="str">
        <f t="shared" ref="CB11:CB60" si="49">MAX(($BU11*CB$58)+CB$59,4)</f>
        <v>#REF!</v>
      </c>
      <c r="CC11" s="48" t="str">
        <f t="shared" ref="CC11:CH11" si="3">MAX(($BU11*CC$58)+CC$59,2)</f>
        <v>#REF!</v>
      </c>
      <c r="CD11" s="48" t="str">
        <f t="shared" si="3"/>
        <v>#REF!</v>
      </c>
      <c r="CE11" s="48" t="str">
        <f t="shared" si="3"/>
        <v>#REF!</v>
      </c>
      <c r="CF11" s="48" t="str">
        <f t="shared" si="3"/>
        <v>#REF!</v>
      </c>
      <c r="CG11" s="48" t="str">
        <f t="shared" si="3"/>
        <v>#REF!</v>
      </c>
      <c r="CH11" s="48" t="str">
        <f t="shared" si="3"/>
        <v>#REF!</v>
      </c>
      <c r="CI11" s="48" t="str">
        <f t="shared" ref="CI11:CI60" si="51">MAX(($I11*CI$58)+CI$59,2)</f>
        <v>#REF!</v>
      </c>
      <c r="CJ11" s="48" t="str">
        <f t="shared" ref="CJ11:CJ60" si="52">MAX(($BU11*CJ$58)+CJ$59,2)</f>
        <v>#REF!</v>
      </c>
      <c r="CK11" s="48" t="str">
        <f t="shared" ref="CK11:CK60" si="53">SUM(BW11:CJ11)</f>
        <v>#REF!</v>
      </c>
      <c r="CL11" s="48" t="str">
        <f t="shared" ref="CL11:CL60" si="54">V11-CK11</f>
        <v>#REF!</v>
      </c>
      <c r="CM11" s="48" t="str">
        <f t="shared" ref="CM11:CM60" si="55">CL11/CK11</f>
        <v>#REF!</v>
      </c>
      <c r="CN11" s="47" t="str">
        <f t="shared" ref="CN11:CN60" si="56">(J11-CH11)/J11</f>
        <v>#REF!</v>
      </c>
      <c r="CO11" s="47" t="str">
        <f t="shared" ref="CO11:CO60" si="57">(K11-CG11)/K11</f>
        <v>#REF!</v>
      </c>
      <c r="CP11" s="47" t="str">
        <f t="shared" ref="CP11:CP60" si="58">(L11-BW11)/L11</f>
        <v>#REF!</v>
      </c>
      <c r="CQ11" s="48"/>
      <c r="CR11" s="47" t="str">
        <f t="shared" ref="CR11:CU11" si="4">(M11-BY11)/M11</f>
        <v>#REF!</v>
      </c>
      <c r="CS11" s="47" t="str">
        <f t="shared" si="4"/>
        <v>#REF!</v>
      </c>
      <c r="CT11" s="47" t="str">
        <f t="shared" si="4"/>
        <v>#REF!</v>
      </c>
      <c r="CU11" s="47" t="str">
        <f t="shared" si="4"/>
        <v>#REF!</v>
      </c>
      <c r="CV11" s="48"/>
      <c r="CW11" s="47" t="str">
        <f t="shared" ref="CW11:CW60" si="60">(Q11-CC11)/Q11</f>
        <v>#REF!</v>
      </c>
      <c r="CX11" s="47" t="str">
        <f t="shared" ref="CX11:CY11" si="5">(R11-CI11)/R11</f>
        <v>#REF!</v>
      </c>
      <c r="CY11" s="47" t="str">
        <f t="shared" si="5"/>
        <v>#REF!</v>
      </c>
      <c r="CZ11" s="47" t="str">
        <f t="shared" ref="CZ11:DA11" si="6">(T11-CD11)/T11</f>
        <v>#REF!</v>
      </c>
      <c r="DA11" s="47" t="str">
        <f t="shared" si="6"/>
        <v>#REF!</v>
      </c>
      <c r="DB11" s="48"/>
      <c r="DC11" s="47" t="str">
        <f t="shared" ref="DC11:DE11" si="7">MAX(0,CN11)*$DB11</f>
        <v>#REF!</v>
      </c>
      <c r="DD11" s="47" t="str">
        <f t="shared" si="7"/>
        <v>#REF!</v>
      </c>
      <c r="DE11" s="47" t="str">
        <f t="shared" si="7"/>
        <v>#REF!</v>
      </c>
      <c r="DF11" s="47" t="str">
        <f t="shared" ref="DF11:DI11" si="8">MAX(0,CR11)*$DB11</f>
        <v>#REF!</v>
      </c>
      <c r="DG11" s="47" t="str">
        <f t="shared" si="8"/>
        <v>#REF!</v>
      </c>
      <c r="DH11" s="47" t="str">
        <f t="shared" si="8"/>
        <v>#REF!</v>
      </c>
      <c r="DI11" s="47" t="str">
        <f t="shared" si="8"/>
        <v>#REF!</v>
      </c>
      <c r="DJ11" s="47" t="str">
        <f t="shared" ref="DJ11:DN11" si="9">MAX(0,CW11)*$DB11</f>
        <v>#REF!</v>
      </c>
      <c r="DK11" s="47" t="str">
        <f t="shared" si="9"/>
        <v>#REF!</v>
      </c>
      <c r="DL11" s="47" t="str">
        <f t="shared" si="9"/>
        <v>#REF!</v>
      </c>
      <c r="DM11" s="47" t="str">
        <f t="shared" si="9"/>
        <v>#REF!</v>
      </c>
      <c r="DN11" s="47" t="str">
        <f t="shared" si="9"/>
        <v>#REF!</v>
      </c>
      <c r="DO11" s="53"/>
      <c r="DP11" s="53"/>
      <c r="DQ11" s="53"/>
      <c r="DR11" s="53"/>
      <c r="DS11" s="53"/>
      <c r="DT11" s="54"/>
      <c r="DU11" s="54"/>
      <c r="DV11" s="55">
        <f t="shared" ref="DV11:DV58" si="66">SUM(DO11:DS11)</f>
        <v>0</v>
      </c>
      <c r="DW11" s="56"/>
      <c r="DX11" s="57"/>
    </row>
    <row r="12" ht="24.0" customHeight="1">
      <c r="A12" s="34" t="s">
        <v>33</v>
      </c>
      <c r="B12" s="58"/>
      <c r="C12" s="59"/>
      <c r="D12" s="59"/>
      <c r="E12" s="60"/>
      <c r="F12" s="61"/>
      <c r="G12" s="59"/>
      <c r="H12" s="45"/>
      <c r="I12" s="62"/>
      <c r="J12" s="43"/>
      <c r="K12" s="43"/>
      <c r="L12" s="43"/>
      <c r="M12" s="43"/>
      <c r="N12" s="43"/>
      <c r="O12" s="43"/>
      <c r="P12" s="63"/>
      <c r="Q12" s="63"/>
      <c r="R12" s="43"/>
      <c r="S12" s="43"/>
      <c r="T12" s="45"/>
      <c r="U12" s="43"/>
      <c r="V12" s="43">
        <f t="shared" si="10"/>
        <v>0</v>
      </c>
      <c r="W12" s="45" t="str">
        <f t="shared" si="11"/>
        <v>#DIV/0!</v>
      </c>
      <c r="X12" s="64" t="str">
        <f t="shared" si="12"/>
        <v>#DIV/0!</v>
      </c>
      <c r="Y12" s="43">
        <f t="shared" si="13"/>
        <v>0</v>
      </c>
      <c r="Z12" s="43">
        <f t="shared" si="14"/>
        <v>0</v>
      </c>
      <c r="AA12" s="43">
        <f t="shared" si="15"/>
        <v>0</v>
      </c>
      <c r="AB12" s="43">
        <f t="shared" si="16"/>
        <v>0</v>
      </c>
      <c r="AC12" s="43">
        <f t="shared" si="17"/>
        <v>0</v>
      </c>
      <c r="AD12" s="43">
        <f t="shared" si="18"/>
        <v>0</v>
      </c>
      <c r="AE12" s="44"/>
      <c r="AF12" s="45" t="str">
        <f t="shared" si="19"/>
        <v>#DIV/0!</v>
      </c>
      <c r="AG12" s="45" t="str">
        <f t="shared" si="20"/>
        <v>#DIV/0!</v>
      </c>
      <c r="AH12" s="45" t="str">
        <f t="shared" si="21"/>
        <v>#DIV/0!</v>
      </c>
      <c r="AI12" s="45" t="str">
        <f t="shared" si="22"/>
        <v>#DIV/0!</v>
      </c>
      <c r="AJ12" s="45" t="str">
        <f t="shared" si="23"/>
        <v>#DIV/0!</v>
      </c>
      <c r="AK12" s="44"/>
      <c r="AL12" s="45" t="str">
        <f t="shared" si="24"/>
        <v>#DIV/0!</v>
      </c>
      <c r="AM12" s="65" t="str">
        <f t="shared" si="25"/>
        <v>#DIV/0!</v>
      </c>
      <c r="AN12" s="47" t="str">
        <f t="shared" si="26"/>
        <v>#NUM!</v>
      </c>
      <c r="AO12" s="47" t="str">
        <f t="shared" si="27"/>
        <v>#NUM!</v>
      </c>
      <c r="AP12" s="48">
        <f t="shared" si="28"/>
        <v>0.465</v>
      </c>
      <c r="AQ12" s="48" t="str">
        <f t="shared" si="29"/>
        <v>#DIV/0!</v>
      </c>
      <c r="AR12" s="49" t="str">
        <f t="shared" si="30"/>
        <v>#DIV/0!</v>
      </c>
      <c r="AS12" s="48"/>
      <c r="AT12" s="48" t="str">
        <f t="shared" si="31"/>
        <v>#DIV/0!</v>
      </c>
      <c r="AU12" s="47" t="str">
        <f t="shared" si="32"/>
        <v/>
      </c>
      <c r="AV12" s="48">
        <f t="shared" si="33"/>
        <v>-15</v>
      </c>
      <c r="AW12" s="48" t="str">
        <f t="shared" si="34"/>
        <v/>
      </c>
      <c r="AX12" s="49" t="str">
        <f t="shared" si="35"/>
        <v>#DIV/0!</v>
      </c>
      <c r="AY12" s="50">
        <f t="shared" si="36"/>
        <v>0.4375</v>
      </c>
      <c r="AZ12" s="51">
        <f t="shared" si="37"/>
        <v>0.6956521739</v>
      </c>
      <c r="BA12" s="52"/>
      <c r="BB12" s="48"/>
      <c r="BC12" s="48"/>
      <c r="BD12" s="48" t="str">
        <f t="shared" si="38"/>
        <v>#DIV/0!</v>
      </c>
      <c r="BE12" s="48" t="str">
        <f t="shared" si="39"/>
        <v>#DIV/0!</v>
      </c>
      <c r="BF12" s="48" t="str">
        <f t="shared" ref="BF12:BK12" si="40">L12</f>
        <v/>
      </c>
      <c r="BG12" s="48" t="str">
        <f t="shared" si="40"/>
        <v/>
      </c>
      <c r="BH12" s="48" t="str">
        <f t="shared" si="40"/>
        <v/>
      </c>
      <c r="BI12" s="48" t="str">
        <f t="shared" si="40"/>
        <v/>
      </c>
      <c r="BJ12" s="48" t="str">
        <f t="shared" si="40"/>
        <v/>
      </c>
      <c r="BK12" s="48" t="str">
        <f t="shared" si="40"/>
        <v/>
      </c>
      <c r="BL12" s="48" t="str">
        <f t="shared" si="41"/>
        <v/>
      </c>
      <c r="BM12" s="48">
        <f t="shared" si="42"/>
        <v>0</v>
      </c>
      <c r="BN12" s="48">
        <f t="shared" si="43"/>
        <v>0</v>
      </c>
      <c r="BO12" s="48">
        <f t="shared" si="44"/>
        <v>0</v>
      </c>
      <c r="BP12" s="47" t="str">
        <f t="shared" si="45"/>
        <v>#DIV/0!</v>
      </c>
      <c r="BQ12" s="45">
        <v>0.0</v>
      </c>
      <c r="BR12" s="45">
        <v>0.188</v>
      </c>
      <c r="BS12" s="45">
        <v>2.406E-4</v>
      </c>
      <c r="BT12" s="47" t="str">
        <f t="shared" si="46"/>
        <v>#NUM!</v>
      </c>
      <c r="BU12" s="48"/>
      <c r="BV12" s="48">
        <f t="shared" si="47"/>
        <v>3</v>
      </c>
      <c r="BW12" s="48" t="str">
        <f t="shared" ref="BW12:CA12" si="48">MAX(($BU12*BW$58)+BW$59,2)</f>
        <v>#REF!</v>
      </c>
      <c r="BX12" s="48" t="str">
        <f t="shared" si="48"/>
        <v>#REF!</v>
      </c>
      <c r="BY12" s="48" t="str">
        <f t="shared" si="48"/>
        <v>#REF!</v>
      </c>
      <c r="BZ12" s="48" t="str">
        <f t="shared" si="48"/>
        <v>#REF!</v>
      </c>
      <c r="CA12" s="48" t="str">
        <f t="shared" si="48"/>
        <v>#REF!</v>
      </c>
      <c r="CB12" s="48" t="str">
        <f t="shared" si="49"/>
        <v>#REF!</v>
      </c>
      <c r="CC12" s="48" t="str">
        <f t="shared" ref="CC12:CH12" si="50">MAX(($BU12*CC$58)+CC$59,2)</f>
        <v>#REF!</v>
      </c>
      <c r="CD12" s="48" t="str">
        <f t="shared" si="50"/>
        <v>#REF!</v>
      </c>
      <c r="CE12" s="48" t="str">
        <f t="shared" si="50"/>
        <v>#REF!</v>
      </c>
      <c r="CF12" s="48" t="str">
        <f t="shared" si="50"/>
        <v>#REF!</v>
      </c>
      <c r="CG12" s="48" t="str">
        <f t="shared" si="50"/>
        <v>#REF!</v>
      </c>
      <c r="CH12" s="48" t="str">
        <f t="shared" si="50"/>
        <v>#REF!</v>
      </c>
      <c r="CI12" s="48" t="str">
        <f t="shared" si="51"/>
        <v>#REF!</v>
      </c>
      <c r="CJ12" s="48" t="str">
        <f t="shared" si="52"/>
        <v>#REF!</v>
      </c>
      <c r="CK12" s="48" t="str">
        <f t="shared" si="53"/>
        <v>#REF!</v>
      </c>
      <c r="CL12" s="48" t="str">
        <f t="shared" si="54"/>
        <v>#REF!</v>
      </c>
      <c r="CM12" s="48" t="str">
        <f t="shared" si="55"/>
        <v>#REF!</v>
      </c>
      <c r="CN12" s="47" t="str">
        <f t="shared" si="56"/>
        <v>#REF!</v>
      </c>
      <c r="CO12" s="47" t="str">
        <f t="shared" si="57"/>
        <v>#REF!</v>
      </c>
      <c r="CP12" s="47" t="str">
        <f t="shared" si="58"/>
        <v>#REF!</v>
      </c>
      <c r="CQ12" s="48"/>
      <c r="CR12" s="47" t="str">
        <f t="shared" ref="CR12:CU12" si="59">(M12-BY12)/M12</f>
        <v>#REF!</v>
      </c>
      <c r="CS12" s="47" t="str">
        <f t="shared" si="59"/>
        <v>#REF!</v>
      </c>
      <c r="CT12" s="47" t="str">
        <f t="shared" si="59"/>
        <v>#REF!</v>
      </c>
      <c r="CU12" s="47" t="str">
        <f t="shared" si="59"/>
        <v>#REF!</v>
      </c>
      <c r="CV12" s="48"/>
      <c r="CW12" s="47" t="str">
        <f t="shared" si="60"/>
        <v>#REF!</v>
      </c>
      <c r="CX12" s="47" t="str">
        <f t="shared" ref="CX12:CY12" si="61">(R12-CI12)/R12</f>
        <v>#REF!</v>
      </c>
      <c r="CY12" s="47" t="str">
        <f t="shared" si="61"/>
        <v>#REF!</v>
      </c>
      <c r="CZ12" s="47" t="str">
        <f t="shared" ref="CZ12:DA12" si="62">(T12-CD12)/T12</f>
        <v>#REF!</v>
      </c>
      <c r="DA12" s="47" t="str">
        <f t="shared" si="62"/>
        <v>#REF!</v>
      </c>
      <c r="DB12" s="48"/>
      <c r="DC12" s="47" t="str">
        <f t="shared" ref="DC12:DE12" si="63">MAX(0,CN12)*$DB12</f>
        <v>#REF!</v>
      </c>
      <c r="DD12" s="47" t="str">
        <f t="shared" si="63"/>
        <v>#REF!</v>
      </c>
      <c r="DE12" s="47" t="str">
        <f t="shared" si="63"/>
        <v>#REF!</v>
      </c>
      <c r="DF12" s="47" t="str">
        <f t="shared" ref="DF12:DI12" si="64">MAX(0,CR12)*$DB12</f>
        <v>#REF!</v>
      </c>
      <c r="DG12" s="47" t="str">
        <f t="shared" si="64"/>
        <v>#REF!</v>
      </c>
      <c r="DH12" s="47" t="str">
        <f t="shared" si="64"/>
        <v>#REF!</v>
      </c>
      <c r="DI12" s="47" t="str">
        <f t="shared" si="64"/>
        <v>#REF!</v>
      </c>
      <c r="DJ12" s="47" t="str">
        <f t="shared" ref="DJ12:DN12" si="65">MAX(0,CW12)*$DB12</f>
        <v>#REF!</v>
      </c>
      <c r="DK12" s="47" t="str">
        <f t="shared" si="65"/>
        <v>#REF!</v>
      </c>
      <c r="DL12" s="47" t="str">
        <f t="shared" si="65"/>
        <v>#REF!</v>
      </c>
      <c r="DM12" s="47" t="str">
        <f t="shared" si="65"/>
        <v>#REF!</v>
      </c>
      <c r="DN12" s="47" t="str">
        <f t="shared" si="65"/>
        <v>#REF!</v>
      </c>
      <c r="DO12" s="45"/>
      <c r="DP12" s="45"/>
      <c r="DQ12" s="45"/>
      <c r="DR12" s="45"/>
      <c r="DS12" s="45"/>
      <c r="DT12" s="45"/>
      <c r="DU12" s="45"/>
      <c r="DV12" s="66">
        <f t="shared" si="66"/>
        <v>0</v>
      </c>
      <c r="DW12" s="56"/>
      <c r="DX12" s="67"/>
    </row>
    <row r="13" ht="23.25" customHeight="1">
      <c r="A13" s="34" t="s">
        <v>33</v>
      </c>
      <c r="B13" s="68"/>
      <c r="C13" s="59"/>
      <c r="D13" s="59"/>
      <c r="E13" s="60"/>
      <c r="F13" s="61"/>
      <c r="G13" s="59"/>
      <c r="H13" s="45"/>
      <c r="I13" s="62"/>
      <c r="J13" s="43"/>
      <c r="K13" s="43"/>
      <c r="L13" s="43"/>
      <c r="M13" s="43"/>
      <c r="N13" s="43"/>
      <c r="O13" s="43"/>
      <c r="P13" s="63"/>
      <c r="Q13" s="63"/>
      <c r="R13" s="43"/>
      <c r="S13" s="43"/>
      <c r="T13" s="43"/>
      <c r="U13" s="43"/>
      <c r="V13" s="43">
        <f t="shared" si="10"/>
        <v>0</v>
      </c>
      <c r="W13" s="45" t="str">
        <f t="shared" si="11"/>
        <v>#DIV/0!</v>
      </c>
      <c r="X13" s="45" t="str">
        <f t="shared" si="12"/>
        <v>#DIV/0!</v>
      </c>
      <c r="Y13" s="43">
        <f t="shared" si="13"/>
        <v>0</v>
      </c>
      <c r="Z13" s="43">
        <f t="shared" si="14"/>
        <v>0</v>
      </c>
      <c r="AA13" s="43">
        <f t="shared" si="15"/>
        <v>0</v>
      </c>
      <c r="AB13" s="43">
        <f t="shared" si="16"/>
        <v>0</v>
      </c>
      <c r="AC13" s="43">
        <f t="shared" si="17"/>
        <v>0</v>
      </c>
      <c r="AD13" s="43">
        <f t="shared" si="18"/>
        <v>0</v>
      </c>
      <c r="AE13" s="44"/>
      <c r="AF13" s="45" t="str">
        <f t="shared" si="19"/>
        <v>#DIV/0!</v>
      </c>
      <c r="AG13" s="45" t="str">
        <f t="shared" si="20"/>
        <v>#DIV/0!</v>
      </c>
      <c r="AH13" s="45" t="str">
        <f t="shared" si="21"/>
        <v>#DIV/0!</v>
      </c>
      <c r="AI13" s="45" t="str">
        <f t="shared" si="22"/>
        <v>#DIV/0!</v>
      </c>
      <c r="AJ13" s="45" t="str">
        <f t="shared" si="23"/>
        <v>#DIV/0!</v>
      </c>
      <c r="AK13" s="44"/>
      <c r="AL13" s="45" t="str">
        <f t="shared" si="24"/>
        <v>#DIV/0!</v>
      </c>
      <c r="AM13" s="65" t="str">
        <f t="shared" si="25"/>
        <v>#DIV/0!</v>
      </c>
      <c r="AN13" s="47" t="str">
        <f t="shared" si="26"/>
        <v>#NUM!</v>
      </c>
      <c r="AO13" s="47" t="str">
        <f t="shared" si="27"/>
        <v>#NUM!</v>
      </c>
      <c r="AP13" s="48">
        <f t="shared" si="28"/>
        <v>0.465</v>
      </c>
      <c r="AQ13" s="48" t="str">
        <f t="shared" si="29"/>
        <v>#DIV/0!</v>
      </c>
      <c r="AR13" s="49" t="str">
        <f t="shared" si="30"/>
        <v>#DIV/0!</v>
      </c>
      <c r="AS13" s="48"/>
      <c r="AT13" s="48" t="str">
        <f t="shared" si="31"/>
        <v>#DIV/0!</v>
      </c>
      <c r="AU13" s="47" t="str">
        <f t="shared" si="32"/>
        <v/>
      </c>
      <c r="AV13" s="48">
        <f t="shared" si="33"/>
        <v>-15</v>
      </c>
      <c r="AW13" s="48" t="str">
        <f t="shared" si="34"/>
        <v/>
      </c>
      <c r="AX13" s="49" t="str">
        <f t="shared" si="35"/>
        <v>#DIV/0!</v>
      </c>
      <c r="AY13" s="50">
        <f t="shared" si="36"/>
        <v>0.4375</v>
      </c>
      <c r="AZ13" s="51">
        <f t="shared" si="37"/>
        <v>0.6956521739</v>
      </c>
      <c r="BA13" s="52"/>
      <c r="BB13" s="48"/>
      <c r="BC13" s="48"/>
      <c r="BD13" s="48" t="str">
        <f t="shared" si="38"/>
        <v>#DIV/0!</v>
      </c>
      <c r="BE13" s="48" t="str">
        <f t="shared" si="39"/>
        <v>#DIV/0!</v>
      </c>
      <c r="BF13" s="48" t="str">
        <f t="shared" ref="BF13:BK13" si="67">L13</f>
        <v/>
      </c>
      <c r="BG13" s="48" t="str">
        <f t="shared" si="67"/>
        <v/>
      </c>
      <c r="BH13" s="48" t="str">
        <f t="shared" si="67"/>
        <v/>
      </c>
      <c r="BI13" s="48" t="str">
        <f t="shared" si="67"/>
        <v/>
      </c>
      <c r="BJ13" s="48" t="str">
        <f t="shared" si="67"/>
        <v/>
      </c>
      <c r="BK13" s="48" t="str">
        <f t="shared" si="67"/>
        <v/>
      </c>
      <c r="BL13" s="48" t="str">
        <f t="shared" si="41"/>
        <v/>
      </c>
      <c r="BM13" s="48">
        <f t="shared" si="42"/>
        <v>0</v>
      </c>
      <c r="BN13" s="48">
        <f t="shared" si="43"/>
        <v>0</v>
      </c>
      <c r="BO13" s="48">
        <f t="shared" si="44"/>
        <v>0</v>
      </c>
      <c r="BP13" s="47" t="str">
        <f t="shared" si="45"/>
        <v>#DIV/0!</v>
      </c>
      <c r="BQ13" s="54"/>
      <c r="BR13" s="54"/>
      <c r="BS13" s="54"/>
      <c r="BT13" s="47" t="str">
        <f t="shared" si="46"/>
        <v>#NUM!</v>
      </c>
      <c r="BU13" s="48"/>
      <c r="BV13" s="48">
        <f t="shared" si="47"/>
        <v>3</v>
      </c>
      <c r="BW13" s="48" t="str">
        <f t="shared" ref="BW13:CA13" si="68">MAX(($BU13*BW$58)+BW$59,2)</f>
        <v>#REF!</v>
      </c>
      <c r="BX13" s="48" t="str">
        <f t="shared" si="68"/>
        <v>#REF!</v>
      </c>
      <c r="BY13" s="48" t="str">
        <f t="shared" si="68"/>
        <v>#REF!</v>
      </c>
      <c r="BZ13" s="48" t="str">
        <f t="shared" si="68"/>
        <v>#REF!</v>
      </c>
      <c r="CA13" s="48" t="str">
        <f t="shared" si="68"/>
        <v>#REF!</v>
      </c>
      <c r="CB13" s="48" t="str">
        <f t="shared" si="49"/>
        <v>#REF!</v>
      </c>
      <c r="CC13" s="48" t="str">
        <f t="shared" ref="CC13:CH13" si="69">MAX(($BU13*CC$58)+CC$59,2)</f>
        <v>#REF!</v>
      </c>
      <c r="CD13" s="48" t="str">
        <f t="shared" si="69"/>
        <v>#REF!</v>
      </c>
      <c r="CE13" s="48" t="str">
        <f t="shared" si="69"/>
        <v>#REF!</v>
      </c>
      <c r="CF13" s="48" t="str">
        <f t="shared" si="69"/>
        <v>#REF!</v>
      </c>
      <c r="CG13" s="48" t="str">
        <f t="shared" si="69"/>
        <v>#REF!</v>
      </c>
      <c r="CH13" s="48" t="str">
        <f t="shared" si="69"/>
        <v>#REF!</v>
      </c>
      <c r="CI13" s="48" t="str">
        <f t="shared" si="51"/>
        <v>#REF!</v>
      </c>
      <c r="CJ13" s="48" t="str">
        <f t="shared" si="52"/>
        <v>#REF!</v>
      </c>
      <c r="CK13" s="48" t="str">
        <f t="shared" si="53"/>
        <v>#REF!</v>
      </c>
      <c r="CL13" s="48" t="str">
        <f t="shared" si="54"/>
        <v>#REF!</v>
      </c>
      <c r="CM13" s="48" t="str">
        <f t="shared" si="55"/>
        <v>#REF!</v>
      </c>
      <c r="CN13" s="47" t="str">
        <f t="shared" si="56"/>
        <v>#REF!</v>
      </c>
      <c r="CO13" s="47" t="str">
        <f t="shared" si="57"/>
        <v>#REF!</v>
      </c>
      <c r="CP13" s="47" t="str">
        <f t="shared" si="58"/>
        <v>#REF!</v>
      </c>
      <c r="CQ13" s="48"/>
      <c r="CR13" s="47" t="str">
        <f t="shared" ref="CR13:CU13" si="70">(M13-BY13)/M13</f>
        <v>#REF!</v>
      </c>
      <c r="CS13" s="47" t="str">
        <f t="shared" si="70"/>
        <v>#REF!</v>
      </c>
      <c r="CT13" s="47" t="str">
        <f t="shared" si="70"/>
        <v>#REF!</v>
      </c>
      <c r="CU13" s="47" t="str">
        <f t="shared" si="70"/>
        <v>#REF!</v>
      </c>
      <c r="CV13" s="48"/>
      <c r="CW13" s="47" t="str">
        <f t="shared" si="60"/>
        <v>#REF!</v>
      </c>
      <c r="CX13" s="47" t="str">
        <f t="shared" ref="CX13:CY13" si="71">(R13-CI13)/R13</f>
        <v>#REF!</v>
      </c>
      <c r="CY13" s="47" t="str">
        <f t="shared" si="71"/>
        <v>#REF!</v>
      </c>
      <c r="CZ13" s="47" t="str">
        <f t="shared" ref="CZ13:DA13" si="72">(T13-CD13)/T13</f>
        <v>#REF!</v>
      </c>
      <c r="DA13" s="47" t="str">
        <f t="shared" si="72"/>
        <v>#REF!</v>
      </c>
      <c r="DB13" s="48"/>
      <c r="DC13" s="47" t="str">
        <f t="shared" ref="DC13:DE13" si="73">MAX(0,CN13)*$DB13</f>
        <v>#REF!</v>
      </c>
      <c r="DD13" s="47" t="str">
        <f t="shared" si="73"/>
        <v>#REF!</v>
      </c>
      <c r="DE13" s="47" t="str">
        <f t="shared" si="73"/>
        <v>#REF!</v>
      </c>
      <c r="DF13" s="47" t="str">
        <f t="shared" ref="DF13:DI13" si="74">MAX(0,CR13)*$DB13</f>
        <v>#REF!</v>
      </c>
      <c r="DG13" s="47" t="str">
        <f t="shared" si="74"/>
        <v>#REF!</v>
      </c>
      <c r="DH13" s="47" t="str">
        <f t="shared" si="74"/>
        <v>#REF!</v>
      </c>
      <c r="DI13" s="47" t="str">
        <f t="shared" si="74"/>
        <v>#REF!</v>
      </c>
      <c r="DJ13" s="47" t="str">
        <f t="shared" ref="DJ13:DN13" si="75">MAX(0,CW13)*$DB13</f>
        <v>#REF!</v>
      </c>
      <c r="DK13" s="47" t="str">
        <f t="shared" si="75"/>
        <v>#REF!</v>
      </c>
      <c r="DL13" s="47" t="str">
        <f t="shared" si="75"/>
        <v>#REF!</v>
      </c>
      <c r="DM13" s="47" t="str">
        <f t="shared" si="75"/>
        <v>#REF!</v>
      </c>
      <c r="DN13" s="47" t="str">
        <f t="shared" si="75"/>
        <v>#REF!</v>
      </c>
      <c r="DO13" s="45"/>
      <c r="DP13" s="45"/>
      <c r="DQ13" s="45"/>
      <c r="DR13" s="45"/>
      <c r="DS13" s="45"/>
      <c r="DT13" s="45"/>
      <c r="DU13" s="45"/>
      <c r="DV13" s="55">
        <f t="shared" si="66"/>
        <v>0</v>
      </c>
      <c r="DW13" s="56"/>
      <c r="DX13" s="67"/>
    </row>
    <row r="14" ht="14.25" customHeight="1">
      <c r="A14" s="34" t="s">
        <v>33</v>
      </c>
      <c r="B14" s="69"/>
      <c r="C14" s="59"/>
      <c r="D14" s="59"/>
      <c r="E14" s="60"/>
      <c r="F14" s="61"/>
      <c r="G14" s="59"/>
      <c r="H14" s="45"/>
      <c r="I14" s="62"/>
      <c r="J14" s="43"/>
      <c r="K14" s="43"/>
      <c r="L14" s="43"/>
      <c r="M14" s="43"/>
      <c r="N14" s="43"/>
      <c r="O14" s="43"/>
      <c r="P14" s="63"/>
      <c r="Q14" s="63"/>
      <c r="R14" s="43"/>
      <c r="S14" s="43"/>
      <c r="T14" s="43"/>
      <c r="U14" s="43"/>
      <c r="V14" s="43">
        <f t="shared" si="10"/>
        <v>0</v>
      </c>
      <c r="W14" s="45" t="str">
        <f t="shared" si="11"/>
        <v>#DIV/0!</v>
      </c>
      <c r="X14" s="45" t="str">
        <f t="shared" si="12"/>
        <v>#DIV/0!</v>
      </c>
      <c r="Y14" s="43">
        <f t="shared" si="13"/>
        <v>0</v>
      </c>
      <c r="Z14" s="43">
        <f t="shared" si="14"/>
        <v>0</v>
      </c>
      <c r="AA14" s="43">
        <f t="shared" si="15"/>
        <v>0</v>
      </c>
      <c r="AB14" s="43">
        <f t="shared" si="16"/>
        <v>0</v>
      </c>
      <c r="AC14" s="43">
        <f t="shared" si="17"/>
        <v>0</v>
      </c>
      <c r="AD14" s="43">
        <f t="shared" si="18"/>
        <v>0</v>
      </c>
      <c r="AE14" s="44"/>
      <c r="AF14" s="45" t="str">
        <f t="shared" si="19"/>
        <v>#DIV/0!</v>
      </c>
      <c r="AG14" s="45" t="str">
        <f t="shared" si="20"/>
        <v>#DIV/0!</v>
      </c>
      <c r="AH14" s="45" t="str">
        <f t="shared" si="21"/>
        <v>#DIV/0!</v>
      </c>
      <c r="AI14" s="45" t="str">
        <f t="shared" si="22"/>
        <v>#DIV/0!</v>
      </c>
      <c r="AJ14" s="45" t="str">
        <f t="shared" si="23"/>
        <v>#DIV/0!</v>
      </c>
      <c r="AK14" s="44"/>
      <c r="AL14" s="45" t="str">
        <f t="shared" si="24"/>
        <v>#DIV/0!</v>
      </c>
      <c r="AM14" s="65" t="str">
        <f t="shared" si="25"/>
        <v>#DIV/0!</v>
      </c>
      <c r="AN14" s="47" t="str">
        <f t="shared" si="26"/>
        <v>#NUM!</v>
      </c>
      <c r="AO14" s="47" t="str">
        <f t="shared" si="27"/>
        <v>#NUM!</v>
      </c>
      <c r="AP14" s="48">
        <f t="shared" si="28"/>
        <v>0.465</v>
      </c>
      <c r="AQ14" s="48" t="str">
        <f t="shared" si="29"/>
        <v>#DIV/0!</v>
      </c>
      <c r="AR14" s="49" t="str">
        <f t="shared" si="30"/>
        <v>#DIV/0!</v>
      </c>
      <c r="AS14" s="48"/>
      <c r="AT14" s="48" t="str">
        <f t="shared" si="31"/>
        <v>#DIV/0!</v>
      </c>
      <c r="AU14" s="47" t="str">
        <f t="shared" si="32"/>
        <v/>
      </c>
      <c r="AV14" s="48">
        <f t="shared" si="33"/>
        <v>-15</v>
      </c>
      <c r="AW14" s="48" t="str">
        <f t="shared" si="34"/>
        <v/>
      </c>
      <c r="AX14" s="49" t="str">
        <f t="shared" si="35"/>
        <v>#DIV/0!</v>
      </c>
      <c r="AY14" s="50">
        <f t="shared" si="36"/>
        <v>0.4375</v>
      </c>
      <c r="AZ14" s="51">
        <f t="shared" si="37"/>
        <v>0.6956521739</v>
      </c>
      <c r="BA14" s="52"/>
      <c r="BB14" s="48"/>
      <c r="BC14" s="48"/>
      <c r="BD14" s="48" t="str">
        <f t="shared" si="38"/>
        <v>#DIV/0!</v>
      </c>
      <c r="BE14" s="48" t="str">
        <f t="shared" si="39"/>
        <v>#DIV/0!</v>
      </c>
      <c r="BF14" s="48" t="str">
        <f t="shared" ref="BF14:BK14" si="76">L14</f>
        <v/>
      </c>
      <c r="BG14" s="48" t="str">
        <f t="shared" si="76"/>
        <v/>
      </c>
      <c r="BH14" s="48" t="str">
        <f t="shared" si="76"/>
        <v/>
      </c>
      <c r="BI14" s="48" t="str">
        <f t="shared" si="76"/>
        <v/>
      </c>
      <c r="BJ14" s="48" t="str">
        <f t="shared" si="76"/>
        <v/>
      </c>
      <c r="BK14" s="48" t="str">
        <f t="shared" si="76"/>
        <v/>
      </c>
      <c r="BL14" s="48" t="str">
        <f t="shared" si="41"/>
        <v/>
      </c>
      <c r="BM14" s="48">
        <f t="shared" si="42"/>
        <v>0</v>
      </c>
      <c r="BN14" s="48">
        <f t="shared" si="43"/>
        <v>0</v>
      </c>
      <c r="BO14" s="48">
        <f t="shared" si="44"/>
        <v>0</v>
      </c>
      <c r="BP14" s="47" t="str">
        <f t="shared" si="45"/>
        <v>#DIV/0!</v>
      </c>
      <c r="BQ14" s="45">
        <v>2.0</v>
      </c>
      <c r="BR14" s="45">
        <v>800.0</v>
      </c>
      <c r="BS14" s="45">
        <v>1.06</v>
      </c>
      <c r="BT14" s="47" t="str">
        <f t="shared" si="46"/>
        <v>#NUM!</v>
      </c>
      <c r="BU14" s="48"/>
      <c r="BV14" s="48">
        <f t="shared" si="47"/>
        <v>3</v>
      </c>
      <c r="BW14" s="48" t="str">
        <f t="shared" ref="BW14:CA14" si="77">MAX(($BU14*BW$58)+BW$59,2)</f>
        <v>#REF!</v>
      </c>
      <c r="BX14" s="48" t="str">
        <f t="shared" si="77"/>
        <v>#REF!</v>
      </c>
      <c r="BY14" s="48" t="str">
        <f t="shared" si="77"/>
        <v>#REF!</v>
      </c>
      <c r="BZ14" s="48" t="str">
        <f t="shared" si="77"/>
        <v>#REF!</v>
      </c>
      <c r="CA14" s="48" t="str">
        <f t="shared" si="77"/>
        <v>#REF!</v>
      </c>
      <c r="CB14" s="48" t="str">
        <f t="shared" si="49"/>
        <v>#REF!</v>
      </c>
      <c r="CC14" s="48" t="str">
        <f t="shared" ref="CC14:CH14" si="78">MAX(($BU14*CC$58)+CC$59,2)</f>
        <v>#REF!</v>
      </c>
      <c r="CD14" s="48" t="str">
        <f t="shared" si="78"/>
        <v>#REF!</v>
      </c>
      <c r="CE14" s="48" t="str">
        <f t="shared" si="78"/>
        <v>#REF!</v>
      </c>
      <c r="CF14" s="48" t="str">
        <f t="shared" si="78"/>
        <v>#REF!</v>
      </c>
      <c r="CG14" s="48" t="str">
        <f t="shared" si="78"/>
        <v>#REF!</v>
      </c>
      <c r="CH14" s="48" t="str">
        <f t="shared" si="78"/>
        <v>#REF!</v>
      </c>
      <c r="CI14" s="48" t="str">
        <f t="shared" si="51"/>
        <v>#REF!</v>
      </c>
      <c r="CJ14" s="48" t="str">
        <f t="shared" si="52"/>
        <v>#REF!</v>
      </c>
      <c r="CK14" s="48" t="str">
        <f t="shared" si="53"/>
        <v>#REF!</v>
      </c>
      <c r="CL14" s="48" t="str">
        <f t="shared" si="54"/>
        <v>#REF!</v>
      </c>
      <c r="CM14" s="47" t="str">
        <f t="shared" si="55"/>
        <v>#REF!</v>
      </c>
      <c r="CN14" s="47" t="str">
        <f t="shared" si="56"/>
        <v>#REF!</v>
      </c>
      <c r="CO14" s="47" t="str">
        <f t="shared" si="57"/>
        <v>#REF!</v>
      </c>
      <c r="CP14" s="47" t="str">
        <f t="shared" si="58"/>
        <v>#REF!</v>
      </c>
      <c r="CQ14" s="48"/>
      <c r="CR14" s="47" t="str">
        <f t="shared" ref="CR14:CU14" si="79">(M14-BY14)/M14</f>
        <v>#REF!</v>
      </c>
      <c r="CS14" s="47" t="str">
        <f t="shared" si="79"/>
        <v>#REF!</v>
      </c>
      <c r="CT14" s="47" t="str">
        <f t="shared" si="79"/>
        <v>#REF!</v>
      </c>
      <c r="CU14" s="47" t="str">
        <f t="shared" si="79"/>
        <v>#REF!</v>
      </c>
      <c r="CV14" s="48"/>
      <c r="CW14" s="47" t="str">
        <f t="shared" si="60"/>
        <v>#REF!</v>
      </c>
      <c r="CX14" s="47" t="str">
        <f t="shared" ref="CX14:CY14" si="80">(R14-CI14)/R14</f>
        <v>#REF!</v>
      </c>
      <c r="CY14" s="47" t="str">
        <f t="shared" si="80"/>
        <v>#REF!</v>
      </c>
      <c r="CZ14" s="47" t="str">
        <f t="shared" ref="CZ14:DA14" si="81">(T14-CD14)/T14</f>
        <v>#REF!</v>
      </c>
      <c r="DA14" s="47" t="str">
        <f t="shared" si="81"/>
        <v>#REF!</v>
      </c>
      <c r="DB14" s="48"/>
      <c r="DC14" s="47" t="str">
        <f t="shared" ref="DC14:DE14" si="82">MAX(0,CN14)*$DB14</f>
        <v>#REF!</v>
      </c>
      <c r="DD14" s="47" t="str">
        <f t="shared" si="82"/>
        <v>#REF!</v>
      </c>
      <c r="DE14" s="47" t="str">
        <f t="shared" si="82"/>
        <v>#REF!</v>
      </c>
      <c r="DF14" s="47" t="str">
        <f t="shared" ref="DF14:DI14" si="83">MAX(0,CR14)*$DB14</f>
        <v>#REF!</v>
      </c>
      <c r="DG14" s="47" t="str">
        <f t="shared" si="83"/>
        <v>#REF!</v>
      </c>
      <c r="DH14" s="47" t="str">
        <f t="shared" si="83"/>
        <v>#REF!</v>
      </c>
      <c r="DI14" s="47" t="str">
        <f t="shared" si="83"/>
        <v>#REF!</v>
      </c>
      <c r="DJ14" s="47" t="str">
        <f t="shared" ref="DJ14:DN14" si="84">MAX(0,CW14)*$DB14</f>
        <v>#REF!</v>
      </c>
      <c r="DK14" s="47" t="str">
        <f t="shared" si="84"/>
        <v>#REF!</v>
      </c>
      <c r="DL14" s="47" t="str">
        <f t="shared" si="84"/>
        <v>#REF!</v>
      </c>
      <c r="DM14" s="47" t="str">
        <f t="shared" si="84"/>
        <v>#REF!</v>
      </c>
      <c r="DN14" s="47" t="str">
        <f t="shared" si="84"/>
        <v>#REF!</v>
      </c>
      <c r="DO14" s="45"/>
      <c r="DP14" s="45"/>
      <c r="DQ14" s="45"/>
      <c r="DR14" s="45"/>
      <c r="DS14" s="45"/>
      <c r="DT14" s="45"/>
      <c r="DU14" s="45"/>
      <c r="DV14" s="66">
        <f t="shared" si="66"/>
        <v>0</v>
      </c>
      <c r="DW14" s="56"/>
      <c r="DX14" s="67"/>
    </row>
    <row r="15" ht="14.25" customHeight="1">
      <c r="A15" s="34" t="s">
        <v>33</v>
      </c>
      <c r="B15" s="68"/>
      <c r="C15" s="59"/>
      <c r="D15" s="59"/>
      <c r="E15" s="60"/>
      <c r="F15" s="61"/>
      <c r="G15" s="59"/>
      <c r="H15" s="45"/>
      <c r="I15" s="62"/>
      <c r="J15" s="43"/>
      <c r="K15" s="43"/>
      <c r="L15" s="43"/>
      <c r="M15" s="43"/>
      <c r="N15" s="43"/>
      <c r="O15" s="43"/>
      <c r="P15" s="63"/>
      <c r="Q15" s="63"/>
      <c r="R15" s="43"/>
      <c r="S15" s="43"/>
      <c r="T15" s="43"/>
      <c r="U15" s="43"/>
      <c r="V15" s="43">
        <f t="shared" si="10"/>
        <v>0</v>
      </c>
      <c r="W15" s="45" t="str">
        <f t="shared" si="11"/>
        <v>#DIV/0!</v>
      </c>
      <c r="X15" s="45" t="str">
        <f t="shared" si="12"/>
        <v>#DIV/0!</v>
      </c>
      <c r="Y15" s="43">
        <f t="shared" si="13"/>
        <v>0</v>
      </c>
      <c r="Z15" s="43">
        <f t="shared" si="14"/>
        <v>0</v>
      </c>
      <c r="AA15" s="43">
        <f t="shared" si="15"/>
        <v>0</v>
      </c>
      <c r="AB15" s="43">
        <f t="shared" si="16"/>
        <v>0</v>
      </c>
      <c r="AC15" s="43">
        <f t="shared" si="17"/>
        <v>0</v>
      </c>
      <c r="AD15" s="43">
        <f t="shared" si="18"/>
        <v>0</v>
      </c>
      <c r="AE15" s="44"/>
      <c r="AF15" s="45" t="str">
        <f t="shared" si="19"/>
        <v>#DIV/0!</v>
      </c>
      <c r="AG15" s="45" t="str">
        <f t="shared" si="20"/>
        <v>#DIV/0!</v>
      </c>
      <c r="AH15" s="45" t="str">
        <f t="shared" si="21"/>
        <v>#DIV/0!</v>
      </c>
      <c r="AI15" s="45" t="str">
        <f t="shared" si="22"/>
        <v>#DIV/0!</v>
      </c>
      <c r="AJ15" s="45" t="str">
        <f t="shared" si="23"/>
        <v>#DIV/0!</v>
      </c>
      <c r="AK15" s="44"/>
      <c r="AL15" s="45" t="str">
        <f t="shared" si="24"/>
        <v>#DIV/0!</v>
      </c>
      <c r="AM15" s="70" t="str">
        <f t="shared" si="25"/>
        <v>#DIV/0!</v>
      </c>
      <c r="AN15" s="47" t="str">
        <f t="shared" si="26"/>
        <v>#NUM!</v>
      </c>
      <c r="AO15" s="47" t="str">
        <f t="shared" si="27"/>
        <v>#NUM!</v>
      </c>
      <c r="AP15" s="48">
        <f t="shared" si="28"/>
        <v>0.465</v>
      </c>
      <c r="AQ15" s="47" t="str">
        <f t="shared" si="29"/>
        <v>#DIV/0!</v>
      </c>
      <c r="AR15" s="47" t="str">
        <f t="shared" si="30"/>
        <v>#DIV/0!</v>
      </c>
      <c r="AS15" s="48"/>
      <c r="AT15" s="47" t="str">
        <f t="shared" si="31"/>
        <v>#DIV/0!</v>
      </c>
      <c r="AU15" s="71" t="str">
        <f t="shared" si="32"/>
        <v/>
      </c>
      <c r="AV15" s="47">
        <f t="shared" si="33"/>
        <v>-15</v>
      </c>
      <c r="AW15" s="48" t="str">
        <f t="shared" si="34"/>
        <v/>
      </c>
      <c r="AX15" s="47" t="str">
        <f t="shared" si="35"/>
        <v>#DIV/0!</v>
      </c>
      <c r="AY15" s="47">
        <f t="shared" si="36"/>
        <v>0.4375</v>
      </c>
      <c r="AZ15" s="47">
        <f t="shared" si="37"/>
        <v>0.6956521739</v>
      </c>
      <c r="BA15" s="52"/>
      <c r="BB15" s="48"/>
      <c r="BC15" s="48"/>
      <c r="BD15" s="47" t="str">
        <f t="shared" si="38"/>
        <v>#DIV/0!</v>
      </c>
      <c r="BE15" s="47" t="str">
        <f t="shared" si="39"/>
        <v>#DIV/0!</v>
      </c>
      <c r="BF15" s="48" t="str">
        <f t="shared" ref="BF15:BK15" si="85">L15</f>
        <v/>
      </c>
      <c r="BG15" s="48" t="str">
        <f t="shared" si="85"/>
        <v/>
      </c>
      <c r="BH15" s="48" t="str">
        <f t="shared" si="85"/>
        <v/>
      </c>
      <c r="BI15" s="48" t="str">
        <f t="shared" si="85"/>
        <v/>
      </c>
      <c r="BJ15" s="48" t="str">
        <f t="shared" si="85"/>
        <v/>
      </c>
      <c r="BK15" s="48" t="str">
        <f t="shared" si="85"/>
        <v/>
      </c>
      <c r="BL15" s="48" t="str">
        <f t="shared" si="41"/>
        <v/>
      </c>
      <c r="BM15" s="48">
        <f t="shared" si="42"/>
        <v>0</v>
      </c>
      <c r="BN15" s="48">
        <f t="shared" si="43"/>
        <v>0</v>
      </c>
      <c r="BO15" s="48">
        <f t="shared" si="44"/>
        <v>0</v>
      </c>
      <c r="BP15" s="47" t="str">
        <f t="shared" si="45"/>
        <v>#DIV/0!</v>
      </c>
      <c r="BQ15" s="45">
        <v>5.0</v>
      </c>
      <c r="BR15" s="45">
        <v>-5.5</v>
      </c>
      <c r="BS15" s="54"/>
      <c r="BT15" s="47" t="str">
        <f t="shared" si="46"/>
        <v>#NUM!</v>
      </c>
      <c r="BU15" s="48"/>
      <c r="BV15" s="48">
        <f t="shared" si="47"/>
        <v>3</v>
      </c>
      <c r="BW15" s="48" t="str">
        <f t="shared" ref="BW15:CA15" si="86">MAX(($BU15*BW$58)+BW$59,2)</f>
        <v>#REF!</v>
      </c>
      <c r="BX15" s="48" t="str">
        <f t="shared" si="86"/>
        <v>#REF!</v>
      </c>
      <c r="BY15" s="48" t="str">
        <f t="shared" si="86"/>
        <v>#REF!</v>
      </c>
      <c r="BZ15" s="48" t="str">
        <f t="shared" si="86"/>
        <v>#REF!</v>
      </c>
      <c r="CA15" s="48" t="str">
        <f t="shared" si="86"/>
        <v>#REF!</v>
      </c>
      <c r="CB15" s="48" t="str">
        <f t="shared" si="49"/>
        <v>#REF!</v>
      </c>
      <c r="CC15" s="48" t="str">
        <f t="shared" ref="CC15:CH15" si="87">MAX(($BU15*CC$58)+CC$59,2)</f>
        <v>#REF!</v>
      </c>
      <c r="CD15" s="48" t="str">
        <f t="shared" si="87"/>
        <v>#REF!</v>
      </c>
      <c r="CE15" s="48" t="str">
        <f t="shared" si="87"/>
        <v>#REF!</v>
      </c>
      <c r="CF15" s="48" t="str">
        <f t="shared" si="87"/>
        <v>#REF!</v>
      </c>
      <c r="CG15" s="48" t="str">
        <f t="shared" si="87"/>
        <v>#REF!</v>
      </c>
      <c r="CH15" s="48" t="str">
        <f t="shared" si="87"/>
        <v>#REF!</v>
      </c>
      <c r="CI15" s="48" t="str">
        <f t="shared" si="51"/>
        <v>#REF!</v>
      </c>
      <c r="CJ15" s="48" t="str">
        <f t="shared" si="52"/>
        <v>#REF!</v>
      </c>
      <c r="CK15" s="48" t="str">
        <f t="shared" si="53"/>
        <v>#REF!</v>
      </c>
      <c r="CL15" s="48" t="str">
        <f t="shared" si="54"/>
        <v>#REF!</v>
      </c>
      <c r="CM15" s="47" t="str">
        <f t="shared" si="55"/>
        <v>#REF!</v>
      </c>
      <c r="CN15" s="47" t="str">
        <f t="shared" si="56"/>
        <v>#REF!</v>
      </c>
      <c r="CO15" s="47" t="str">
        <f t="shared" si="57"/>
        <v>#REF!</v>
      </c>
      <c r="CP15" s="47" t="str">
        <f t="shared" si="58"/>
        <v>#REF!</v>
      </c>
      <c r="CQ15" s="48"/>
      <c r="CR15" s="47" t="str">
        <f t="shared" ref="CR15:CU15" si="88">(M15-BY15)/M15</f>
        <v>#REF!</v>
      </c>
      <c r="CS15" s="47" t="str">
        <f t="shared" si="88"/>
        <v>#REF!</v>
      </c>
      <c r="CT15" s="47" t="str">
        <f t="shared" si="88"/>
        <v>#REF!</v>
      </c>
      <c r="CU15" s="47" t="str">
        <f t="shared" si="88"/>
        <v>#REF!</v>
      </c>
      <c r="CV15" s="48"/>
      <c r="CW15" s="47" t="str">
        <f t="shared" si="60"/>
        <v>#REF!</v>
      </c>
      <c r="CX15" s="47" t="str">
        <f t="shared" ref="CX15:CY15" si="89">(R15-CI15)/R15</f>
        <v>#REF!</v>
      </c>
      <c r="CY15" s="47" t="str">
        <f t="shared" si="89"/>
        <v>#REF!</v>
      </c>
      <c r="CZ15" s="47" t="str">
        <f t="shared" ref="CZ15:DA15" si="90">(T15-CD15)/T15</f>
        <v>#REF!</v>
      </c>
      <c r="DA15" s="47" t="str">
        <f t="shared" si="90"/>
        <v>#REF!</v>
      </c>
      <c r="DB15" s="48"/>
      <c r="DC15" s="47" t="str">
        <f t="shared" ref="DC15:DE15" si="91">MAX(0,CN15)*$DB15</f>
        <v>#REF!</v>
      </c>
      <c r="DD15" s="47" t="str">
        <f t="shared" si="91"/>
        <v>#REF!</v>
      </c>
      <c r="DE15" s="47" t="str">
        <f t="shared" si="91"/>
        <v>#REF!</v>
      </c>
      <c r="DF15" s="47" t="str">
        <f t="shared" ref="DF15:DI15" si="92">MAX(0,CR15)*$DB15</f>
        <v>#REF!</v>
      </c>
      <c r="DG15" s="47" t="str">
        <f t="shared" si="92"/>
        <v>#REF!</v>
      </c>
      <c r="DH15" s="47" t="str">
        <f t="shared" si="92"/>
        <v>#REF!</v>
      </c>
      <c r="DI15" s="47" t="str">
        <f t="shared" si="92"/>
        <v>#REF!</v>
      </c>
      <c r="DJ15" s="47" t="str">
        <f t="shared" ref="DJ15:DN15" si="93">MAX(0,CW15)*$DB15</f>
        <v>#REF!</v>
      </c>
      <c r="DK15" s="47" t="str">
        <f t="shared" si="93"/>
        <v>#REF!</v>
      </c>
      <c r="DL15" s="47" t="str">
        <f t="shared" si="93"/>
        <v>#REF!</v>
      </c>
      <c r="DM15" s="47" t="str">
        <f t="shared" si="93"/>
        <v>#REF!</v>
      </c>
      <c r="DN15" s="47" t="str">
        <f t="shared" si="93"/>
        <v>#REF!</v>
      </c>
      <c r="DO15" s="45"/>
      <c r="DP15" s="45"/>
      <c r="DQ15" s="45"/>
      <c r="DR15" s="45"/>
      <c r="DS15" s="45"/>
      <c r="DT15" s="45"/>
      <c r="DU15" s="45"/>
      <c r="DV15" s="55">
        <f t="shared" si="66"/>
        <v>0</v>
      </c>
      <c r="DW15" s="56"/>
      <c r="DX15" s="67"/>
    </row>
    <row r="16" ht="18.75" customHeight="1">
      <c r="A16" s="34" t="s">
        <v>33</v>
      </c>
      <c r="B16" s="68"/>
      <c r="C16" s="59"/>
      <c r="D16" s="59"/>
      <c r="E16" s="60"/>
      <c r="F16" s="61"/>
      <c r="G16" s="59"/>
      <c r="H16" s="45"/>
      <c r="I16" s="62"/>
      <c r="J16" s="43"/>
      <c r="K16" s="43"/>
      <c r="L16" s="43"/>
      <c r="M16" s="43"/>
      <c r="N16" s="43"/>
      <c r="O16" s="43"/>
      <c r="P16" s="63"/>
      <c r="Q16" s="63"/>
      <c r="R16" s="43"/>
      <c r="S16" s="43"/>
      <c r="T16" s="43"/>
      <c r="U16" s="43"/>
      <c r="V16" s="43">
        <f t="shared" si="10"/>
        <v>0</v>
      </c>
      <c r="W16" s="45" t="str">
        <f t="shared" si="11"/>
        <v>#DIV/0!</v>
      </c>
      <c r="X16" s="45" t="str">
        <f t="shared" si="12"/>
        <v>#DIV/0!</v>
      </c>
      <c r="Y16" s="43">
        <f t="shared" si="13"/>
        <v>0</v>
      </c>
      <c r="Z16" s="43">
        <f t="shared" si="14"/>
        <v>0</v>
      </c>
      <c r="AA16" s="43">
        <f t="shared" si="15"/>
        <v>0</v>
      </c>
      <c r="AB16" s="43">
        <f t="shared" si="16"/>
        <v>0</v>
      </c>
      <c r="AC16" s="43">
        <f t="shared" si="17"/>
        <v>0</v>
      </c>
      <c r="AD16" s="43">
        <f t="shared" si="18"/>
        <v>0</v>
      </c>
      <c r="AE16" s="44"/>
      <c r="AF16" s="45" t="str">
        <f t="shared" si="19"/>
        <v>#DIV/0!</v>
      </c>
      <c r="AG16" s="45" t="str">
        <f t="shared" si="20"/>
        <v>#DIV/0!</v>
      </c>
      <c r="AH16" s="45" t="str">
        <f t="shared" si="21"/>
        <v>#DIV/0!</v>
      </c>
      <c r="AI16" s="45" t="str">
        <f t="shared" si="22"/>
        <v>#DIV/0!</v>
      </c>
      <c r="AJ16" s="45" t="str">
        <f t="shared" si="23"/>
        <v>#DIV/0!</v>
      </c>
      <c r="AK16" s="44"/>
      <c r="AL16" s="45" t="str">
        <f t="shared" si="24"/>
        <v>#DIV/0!</v>
      </c>
      <c r="AM16" s="70" t="str">
        <f t="shared" si="25"/>
        <v>#DIV/0!</v>
      </c>
      <c r="AN16" s="47" t="str">
        <f t="shared" si="26"/>
        <v>#NUM!</v>
      </c>
      <c r="AO16" s="47" t="str">
        <f t="shared" si="27"/>
        <v>#NUM!</v>
      </c>
      <c r="AP16" s="48">
        <f t="shared" si="28"/>
        <v>0.465</v>
      </c>
      <c r="AQ16" s="47" t="str">
        <f t="shared" si="29"/>
        <v>#DIV/0!</v>
      </c>
      <c r="AR16" s="47" t="str">
        <f t="shared" si="30"/>
        <v>#DIV/0!</v>
      </c>
      <c r="AS16" s="48"/>
      <c r="AT16" s="47" t="str">
        <f t="shared" si="31"/>
        <v>#DIV/0!</v>
      </c>
      <c r="AU16" s="71" t="str">
        <f t="shared" si="32"/>
        <v/>
      </c>
      <c r="AV16" s="47">
        <f t="shared" si="33"/>
        <v>-15</v>
      </c>
      <c r="AW16" s="48" t="str">
        <f t="shared" si="34"/>
        <v/>
      </c>
      <c r="AX16" s="47" t="str">
        <f t="shared" si="35"/>
        <v>#DIV/0!</v>
      </c>
      <c r="AY16" s="47">
        <f t="shared" si="36"/>
        <v>0.4375</v>
      </c>
      <c r="AZ16" s="47">
        <f t="shared" si="37"/>
        <v>0.6956521739</v>
      </c>
      <c r="BA16" s="52"/>
      <c r="BB16" s="48"/>
      <c r="BC16" s="48"/>
      <c r="BD16" s="47" t="str">
        <f t="shared" si="38"/>
        <v>#DIV/0!</v>
      </c>
      <c r="BE16" s="47" t="str">
        <f t="shared" si="39"/>
        <v>#DIV/0!</v>
      </c>
      <c r="BF16" s="48" t="str">
        <f t="shared" ref="BF16:BK16" si="94">L16</f>
        <v/>
      </c>
      <c r="BG16" s="48" t="str">
        <f t="shared" si="94"/>
        <v/>
      </c>
      <c r="BH16" s="48" t="str">
        <f t="shared" si="94"/>
        <v/>
      </c>
      <c r="BI16" s="48" t="str">
        <f t="shared" si="94"/>
        <v/>
      </c>
      <c r="BJ16" s="48" t="str">
        <f t="shared" si="94"/>
        <v/>
      </c>
      <c r="BK16" s="48" t="str">
        <f t="shared" si="94"/>
        <v/>
      </c>
      <c r="BL16" s="48" t="str">
        <f t="shared" si="41"/>
        <v/>
      </c>
      <c r="BM16" s="48">
        <f t="shared" si="42"/>
        <v>0</v>
      </c>
      <c r="BN16" s="48">
        <f t="shared" si="43"/>
        <v>0</v>
      </c>
      <c r="BO16" s="48">
        <f t="shared" si="44"/>
        <v>0</v>
      </c>
      <c r="BP16" s="47" t="str">
        <f t="shared" si="45"/>
        <v>#DIV/0!</v>
      </c>
      <c r="BQ16" s="54"/>
      <c r="BR16" s="54"/>
      <c r="BS16" s="54"/>
      <c r="BT16" s="47" t="str">
        <f t="shared" si="46"/>
        <v>#NUM!</v>
      </c>
      <c r="BU16" s="48"/>
      <c r="BV16" s="48">
        <f t="shared" si="47"/>
        <v>3</v>
      </c>
      <c r="BW16" s="48" t="str">
        <f t="shared" ref="BW16:CA16" si="95">MAX(($BU16*BW$58)+BW$59,2)</f>
        <v>#REF!</v>
      </c>
      <c r="BX16" s="48" t="str">
        <f t="shared" si="95"/>
        <v>#REF!</v>
      </c>
      <c r="BY16" s="48" t="str">
        <f t="shared" si="95"/>
        <v>#REF!</v>
      </c>
      <c r="BZ16" s="48" t="str">
        <f t="shared" si="95"/>
        <v>#REF!</v>
      </c>
      <c r="CA16" s="48" t="str">
        <f t="shared" si="95"/>
        <v>#REF!</v>
      </c>
      <c r="CB16" s="48" t="str">
        <f t="shared" si="49"/>
        <v>#REF!</v>
      </c>
      <c r="CC16" s="48" t="str">
        <f t="shared" ref="CC16:CH16" si="96">MAX(($BU16*CC$58)+CC$59,2)</f>
        <v>#REF!</v>
      </c>
      <c r="CD16" s="48" t="str">
        <f t="shared" si="96"/>
        <v>#REF!</v>
      </c>
      <c r="CE16" s="48" t="str">
        <f t="shared" si="96"/>
        <v>#REF!</v>
      </c>
      <c r="CF16" s="48" t="str">
        <f t="shared" si="96"/>
        <v>#REF!</v>
      </c>
      <c r="CG16" s="48" t="str">
        <f t="shared" si="96"/>
        <v>#REF!</v>
      </c>
      <c r="CH16" s="48" t="str">
        <f t="shared" si="96"/>
        <v>#REF!</v>
      </c>
      <c r="CI16" s="48" t="str">
        <f t="shared" si="51"/>
        <v>#REF!</v>
      </c>
      <c r="CJ16" s="48" t="str">
        <f t="shared" si="52"/>
        <v>#REF!</v>
      </c>
      <c r="CK16" s="48" t="str">
        <f t="shared" si="53"/>
        <v>#REF!</v>
      </c>
      <c r="CL16" s="48" t="str">
        <f t="shared" si="54"/>
        <v>#REF!</v>
      </c>
      <c r="CM16" s="47" t="str">
        <f t="shared" si="55"/>
        <v>#REF!</v>
      </c>
      <c r="CN16" s="47" t="str">
        <f t="shared" si="56"/>
        <v>#REF!</v>
      </c>
      <c r="CO16" s="47" t="str">
        <f t="shared" si="57"/>
        <v>#REF!</v>
      </c>
      <c r="CP16" s="47" t="str">
        <f t="shared" si="58"/>
        <v>#REF!</v>
      </c>
      <c r="CQ16" s="48"/>
      <c r="CR16" s="47" t="str">
        <f t="shared" ref="CR16:CU16" si="97">(M16-BY16)/M16</f>
        <v>#REF!</v>
      </c>
      <c r="CS16" s="47" t="str">
        <f t="shared" si="97"/>
        <v>#REF!</v>
      </c>
      <c r="CT16" s="47" t="str">
        <f t="shared" si="97"/>
        <v>#REF!</v>
      </c>
      <c r="CU16" s="47" t="str">
        <f t="shared" si="97"/>
        <v>#REF!</v>
      </c>
      <c r="CV16" s="48"/>
      <c r="CW16" s="47" t="str">
        <f t="shared" si="60"/>
        <v>#REF!</v>
      </c>
      <c r="CX16" s="47" t="str">
        <f t="shared" ref="CX16:CY16" si="98">(R16-CI16)/R16</f>
        <v>#REF!</v>
      </c>
      <c r="CY16" s="47" t="str">
        <f t="shared" si="98"/>
        <v>#REF!</v>
      </c>
      <c r="CZ16" s="47" t="str">
        <f t="shared" ref="CZ16:DA16" si="99">(T16-CD16)/T16</f>
        <v>#REF!</v>
      </c>
      <c r="DA16" s="47" t="str">
        <f t="shared" si="99"/>
        <v>#REF!</v>
      </c>
      <c r="DB16" s="48"/>
      <c r="DC16" s="47" t="str">
        <f t="shared" ref="DC16:DE16" si="100">MAX(0,CN16)*$DB16</f>
        <v>#REF!</v>
      </c>
      <c r="DD16" s="47" t="str">
        <f t="shared" si="100"/>
        <v>#REF!</v>
      </c>
      <c r="DE16" s="47" t="str">
        <f t="shared" si="100"/>
        <v>#REF!</v>
      </c>
      <c r="DF16" s="47" t="str">
        <f t="shared" ref="DF16:DI16" si="101">MAX(0,CR16)*$DB16</f>
        <v>#REF!</v>
      </c>
      <c r="DG16" s="47" t="str">
        <f t="shared" si="101"/>
        <v>#REF!</v>
      </c>
      <c r="DH16" s="47" t="str">
        <f t="shared" si="101"/>
        <v>#REF!</v>
      </c>
      <c r="DI16" s="47" t="str">
        <f t="shared" si="101"/>
        <v>#REF!</v>
      </c>
      <c r="DJ16" s="47" t="str">
        <f t="shared" ref="DJ16:DN16" si="102">MAX(0,CW16)*$DB16</f>
        <v>#REF!</v>
      </c>
      <c r="DK16" s="47" t="str">
        <f t="shared" si="102"/>
        <v>#REF!</v>
      </c>
      <c r="DL16" s="47" t="str">
        <f t="shared" si="102"/>
        <v>#REF!</v>
      </c>
      <c r="DM16" s="47" t="str">
        <f t="shared" si="102"/>
        <v>#REF!</v>
      </c>
      <c r="DN16" s="47" t="str">
        <f t="shared" si="102"/>
        <v>#REF!</v>
      </c>
      <c r="DO16" s="45"/>
      <c r="DP16" s="45"/>
      <c r="DQ16" s="45"/>
      <c r="DR16" s="45"/>
      <c r="DS16" s="45"/>
      <c r="DT16" s="45"/>
      <c r="DU16" s="45"/>
      <c r="DV16" s="66">
        <f t="shared" si="66"/>
        <v>0</v>
      </c>
      <c r="DW16" s="56"/>
      <c r="DX16" s="67"/>
    </row>
    <row r="17" ht="14.25" customHeight="1">
      <c r="A17" s="34" t="s">
        <v>33</v>
      </c>
      <c r="B17" s="68"/>
      <c r="C17" s="59"/>
      <c r="D17" s="59"/>
      <c r="E17" s="60"/>
      <c r="F17" s="61"/>
      <c r="G17" s="59"/>
      <c r="H17" s="45"/>
      <c r="I17" s="62"/>
      <c r="J17" s="43"/>
      <c r="K17" s="43"/>
      <c r="L17" s="43"/>
      <c r="M17" s="43"/>
      <c r="N17" s="43"/>
      <c r="O17" s="43"/>
      <c r="P17" s="63"/>
      <c r="Q17" s="63"/>
      <c r="R17" s="43"/>
      <c r="S17" s="43"/>
      <c r="T17" s="43"/>
      <c r="U17" s="43"/>
      <c r="V17" s="43">
        <f t="shared" si="10"/>
        <v>0</v>
      </c>
      <c r="W17" s="45" t="str">
        <f t="shared" si="11"/>
        <v>#DIV/0!</v>
      </c>
      <c r="X17" s="45" t="str">
        <f t="shared" si="12"/>
        <v>#DIV/0!</v>
      </c>
      <c r="Y17" s="43">
        <f t="shared" si="13"/>
        <v>0</v>
      </c>
      <c r="Z17" s="43">
        <f t="shared" si="14"/>
        <v>0</v>
      </c>
      <c r="AA17" s="43">
        <f t="shared" si="15"/>
        <v>0</v>
      </c>
      <c r="AB17" s="43">
        <f t="shared" si="16"/>
        <v>0</v>
      </c>
      <c r="AC17" s="43">
        <f t="shared" si="17"/>
        <v>0</v>
      </c>
      <c r="AD17" s="43">
        <f t="shared" si="18"/>
        <v>0</v>
      </c>
      <c r="AE17" s="44"/>
      <c r="AF17" s="45" t="str">
        <f t="shared" si="19"/>
        <v>#DIV/0!</v>
      </c>
      <c r="AG17" s="45" t="str">
        <f t="shared" si="20"/>
        <v>#DIV/0!</v>
      </c>
      <c r="AH17" s="45" t="str">
        <f t="shared" si="21"/>
        <v>#DIV/0!</v>
      </c>
      <c r="AI17" s="45" t="str">
        <f t="shared" si="22"/>
        <v>#DIV/0!</v>
      </c>
      <c r="AJ17" s="45" t="str">
        <f t="shared" si="23"/>
        <v>#DIV/0!</v>
      </c>
      <c r="AK17" s="44"/>
      <c r="AL17" s="45" t="str">
        <f t="shared" si="24"/>
        <v>#DIV/0!</v>
      </c>
      <c r="AM17" s="70" t="str">
        <f t="shared" si="25"/>
        <v>#DIV/0!</v>
      </c>
      <c r="AN17" s="47" t="str">
        <f t="shared" si="26"/>
        <v>#NUM!</v>
      </c>
      <c r="AO17" s="47" t="str">
        <f t="shared" si="27"/>
        <v>#NUM!</v>
      </c>
      <c r="AP17" s="48">
        <f t="shared" si="28"/>
        <v>0.465</v>
      </c>
      <c r="AQ17" s="47" t="str">
        <f t="shared" si="29"/>
        <v>#DIV/0!</v>
      </c>
      <c r="AR17" s="47" t="str">
        <f t="shared" si="30"/>
        <v>#DIV/0!</v>
      </c>
      <c r="AS17" s="48"/>
      <c r="AT17" s="47" t="str">
        <f t="shared" si="31"/>
        <v>#DIV/0!</v>
      </c>
      <c r="AU17" s="71" t="str">
        <f t="shared" si="32"/>
        <v/>
      </c>
      <c r="AV17" s="47">
        <f t="shared" si="33"/>
        <v>-15</v>
      </c>
      <c r="AW17" s="48" t="str">
        <f t="shared" si="34"/>
        <v/>
      </c>
      <c r="AX17" s="47" t="str">
        <f t="shared" si="35"/>
        <v>#DIV/0!</v>
      </c>
      <c r="AY17" s="47">
        <f t="shared" si="36"/>
        <v>0.4375</v>
      </c>
      <c r="AZ17" s="47">
        <f t="shared" si="37"/>
        <v>0.6956521739</v>
      </c>
      <c r="BA17" s="52"/>
      <c r="BB17" s="48"/>
      <c r="BC17" s="48"/>
      <c r="BD17" s="47" t="str">
        <f t="shared" si="38"/>
        <v>#DIV/0!</v>
      </c>
      <c r="BE17" s="47" t="str">
        <f t="shared" si="39"/>
        <v>#DIV/0!</v>
      </c>
      <c r="BF17" s="48" t="str">
        <f t="shared" ref="BF17:BK17" si="103">L17</f>
        <v/>
      </c>
      <c r="BG17" s="48" t="str">
        <f t="shared" si="103"/>
        <v/>
      </c>
      <c r="BH17" s="48" t="str">
        <f t="shared" si="103"/>
        <v/>
      </c>
      <c r="BI17" s="48" t="str">
        <f t="shared" si="103"/>
        <v/>
      </c>
      <c r="BJ17" s="48" t="str">
        <f t="shared" si="103"/>
        <v/>
      </c>
      <c r="BK17" s="48" t="str">
        <f t="shared" si="103"/>
        <v/>
      </c>
      <c r="BL17" s="48" t="str">
        <f t="shared" si="41"/>
        <v/>
      </c>
      <c r="BM17" s="48">
        <f t="shared" si="42"/>
        <v>0</v>
      </c>
      <c r="BN17" s="48">
        <f t="shared" si="43"/>
        <v>0</v>
      </c>
      <c r="BO17" s="48">
        <f t="shared" si="44"/>
        <v>0</v>
      </c>
      <c r="BP17" s="47" t="str">
        <f t="shared" si="45"/>
        <v>#DIV/0!</v>
      </c>
      <c r="BQ17" s="45">
        <v>175.0</v>
      </c>
      <c r="BR17" s="45">
        <v>400.0</v>
      </c>
      <c r="BS17" s="45">
        <v>0.0</v>
      </c>
      <c r="BT17" s="47" t="str">
        <f t="shared" si="46"/>
        <v>#NUM!</v>
      </c>
      <c r="BU17" s="48"/>
      <c r="BV17" s="48">
        <f t="shared" si="47"/>
        <v>3</v>
      </c>
      <c r="BW17" s="48" t="str">
        <f t="shared" ref="BW17:CA17" si="104">MAX(($BU17*BW$58)+BW$59,2)</f>
        <v>#REF!</v>
      </c>
      <c r="BX17" s="48" t="str">
        <f t="shared" si="104"/>
        <v>#REF!</v>
      </c>
      <c r="BY17" s="48" t="str">
        <f t="shared" si="104"/>
        <v>#REF!</v>
      </c>
      <c r="BZ17" s="48" t="str">
        <f t="shared" si="104"/>
        <v>#REF!</v>
      </c>
      <c r="CA17" s="48" t="str">
        <f t="shared" si="104"/>
        <v>#REF!</v>
      </c>
      <c r="CB17" s="48" t="str">
        <f t="shared" si="49"/>
        <v>#REF!</v>
      </c>
      <c r="CC17" s="48" t="str">
        <f t="shared" ref="CC17:CH17" si="105">MAX(($BU17*CC$58)+CC$59,2)</f>
        <v>#REF!</v>
      </c>
      <c r="CD17" s="48" t="str">
        <f t="shared" si="105"/>
        <v>#REF!</v>
      </c>
      <c r="CE17" s="48" t="str">
        <f t="shared" si="105"/>
        <v>#REF!</v>
      </c>
      <c r="CF17" s="48" t="str">
        <f t="shared" si="105"/>
        <v>#REF!</v>
      </c>
      <c r="CG17" s="48" t="str">
        <f t="shared" si="105"/>
        <v>#REF!</v>
      </c>
      <c r="CH17" s="48" t="str">
        <f t="shared" si="105"/>
        <v>#REF!</v>
      </c>
      <c r="CI17" s="48" t="str">
        <f t="shared" si="51"/>
        <v>#REF!</v>
      </c>
      <c r="CJ17" s="48" t="str">
        <f t="shared" si="52"/>
        <v>#REF!</v>
      </c>
      <c r="CK17" s="48" t="str">
        <f t="shared" si="53"/>
        <v>#REF!</v>
      </c>
      <c r="CL17" s="48" t="str">
        <f t="shared" si="54"/>
        <v>#REF!</v>
      </c>
      <c r="CM17" s="47" t="str">
        <f t="shared" si="55"/>
        <v>#REF!</v>
      </c>
      <c r="CN17" s="47" t="str">
        <f t="shared" si="56"/>
        <v>#REF!</v>
      </c>
      <c r="CO17" s="47" t="str">
        <f t="shared" si="57"/>
        <v>#REF!</v>
      </c>
      <c r="CP17" s="47" t="str">
        <f t="shared" si="58"/>
        <v>#REF!</v>
      </c>
      <c r="CQ17" s="48"/>
      <c r="CR17" s="47" t="str">
        <f t="shared" ref="CR17:CU17" si="106">(M17-BY17)/M17</f>
        <v>#REF!</v>
      </c>
      <c r="CS17" s="47" t="str">
        <f t="shared" si="106"/>
        <v>#REF!</v>
      </c>
      <c r="CT17" s="47" t="str">
        <f t="shared" si="106"/>
        <v>#REF!</v>
      </c>
      <c r="CU17" s="47" t="str">
        <f t="shared" si="106"/>
        <v>#REF!</v>
      </c>
      <c r="CV17" s="48"/>
      <c r="CW17" s="47" t="str">
        <f t="shared" si="60"/>
        <v>#REF!</v>
      </c>
      <c r="CX17" s="47" t="str">
        <f t="shared" ref="CX17:CY17" si="107">(R17-CI17)/R17</f>
        <v>#REF!</v>
      </c>
      <c r="CY17" s="47" t="str">
        <f t="shared" si="107"/>
        <v>#REF!</v>
      </c>
      <c r="CZ17" s="47" t="str">
        <f t="shared" ref="CZ17:DA17" si="108">(T17-CD17)/T17</f>
        <v>#REF!</v>
      </c>
      <c r="DA17" s="47" t="str">
        <f t="shared" si="108"/>
        <v>#REF!</v>
      </c>
      <c r="DB17" s="48"/>
      <c r="DC17" s="47" t="str">
        <f t="shared" ref="DC17:DE17" si="109">MAX(0,CN17)*$DB17</f>
        <v>#REF!</v>
      </c>
      <c r="DD17" s="47" t="str">
        <f t="shared" si="109"/>
        <v>#REF!</v>
      </c>
      <c r="DE17" s="47" t="str">
        <f t="shared" si="109"/>
        <v>#REF!</v>
      </c>
      <c r="DF17" s="47" t="str">
        <f t="shared" ref="DF17:DI17" si="110">MAX(0,CR17)*$DB17</f>
        <v>#REF!</v>
      </c>
      <c r="DG17" s="47" t="str">
        <f t="shared" si="110"/>
        <v>#REF!</v>
      </c>
      <c r="DH17" s="47" t="str">
        <f t="shared" si="110"/>
        <v>#REF!</v>
      </c>
      <c r="DI17" s="47" t="str">
        <f t="shared" si="110"/>
        <v>#REF!</v>
      </c>
      <c r="DJ17" s="47" t="str">
        <f t="shared" ref="DJ17:DN17" si="111">MAX(0,CW17)*$DB17</f>
        <v>#REF!</v>
      </c>
      <c r="DK17" s="47" t="str">
        <f t="shared" si="111"/>
        <v>#REF!</v>
      </c>
      <c r="DL17" s="47" t="str">
        <f t="shared" si="111"/>
        <v>#REF!</v>
      </c>
      <c r="DM17" s="47" t="str">
        <f t="shared" si="111"/>
        <v>#REF!</v>
      </c>
      <c r="DN17" s="47" t="str">
        <f t="shared" si="111"/>
        <v>#REF!</v>
      </c>
      <c r="DO17" s="45"/>
      <c r="DP17" s="45"/>
      <c r="DQ17" s="45"/>
      <c r="DR17" s="45"/>
      <c r="DS17" s="45"/>
      <c r="DT17" s="45"/>
      <c r="DU17" s="45"/>
      <c r="DV17" s="55">
        <f t="shared" si="66"/>
        <v>0</v>
      </c>
      <c r="DW17" s="56"/>
      <c r="DX17" s="67"/>
    </row>
    <row r="18" ht="14.25" customHeight="1">
      <c r="A18" s="34" t="s">
        <v>33</v>
      </c>
      <c r="B18" s="68"/>
      <c r="C18" s="59"/>
      <c r="D18" s="59"/>
      <c r="E18" s="60"/>
      <c r="F18" s="61"/>
      <c r="G18" s="59"/>
      <c r="H18" s="45"/>
      <c r="I18" s="62"/>
      <c r="J18" s="43"/>
      <c r="K18" s="43"/>
      <c r="L18" s="43"/>
      <c r="M18" s="43"/>
      <c r="N18" s="43"/>
      <c r="O18" s="43"/>
      <c r="P18" s="63"/>
      <c r="Q18" s="63"/>
      <c r="R18" s="43"/>
      <c r="S18" s="43"/>
      <c r="T18" s="43"/>
      <c r="U18" s="43"/>
      <c r="V18" s="43">
        <f t="shared" si="10"/>
        <v>0</v>
      </c>
      <c r="W18" s="45" t="str">
        <f t="shared" si="11"/>
        <v>#DIV/0!</v>
      </c>
      <c r="X18" s="45" t="str">
        <f t="shared" si="12"/>
        <v>#DIV/0!</v>
      </c>
      <c r="Y18" s="43">
        <f t="shared" si="13"/>
        <v>0</v>
      </c>
      <c r="Z18" s="43">
        <f t="shared" si="14"/>
        <v>0</v>
      </c>
      <c r="AA18" s="43">
        <f t="shared" si="15"/>
        <v>0</v>
      </c>
      <c r="AB18" s="43">
        <f t="shared" si="16"/>
        <v>0</v>
      </c>
      <c r="AC18" s="43">
        <f t="shared" si="17"/>
        <v>0</v>
      </c>
      <c r="AD18" s="43">
        <f t="shared" si="18"/>
        <v>0</v>
      </c>
      <c r="AE18" s="44"/>
      <c r="AF18" s="45" t="str">
        <f t="shared" si="19"/>
        <v>#DIV/0!</v>
      </c>
      <c r="AG18" s="45" t="str">
        <f t="shared" si="20"/>
        <v>#DIV/0!</v>
      </c>
      <c r="AH18" s="45" t="str">
        <f t="shared" si="21"/>
        <v>#DIV/0!</v>
      </c>
      <c r="AI18" s="45" t="str">
        <f t="shared" si="22"/>
        <v>#DIV/0!</v>
      </c>
      <c r="AJ18" s="45" t="str">
        <f t="shared" si="23"/>
        <v>#DIV/0!</v>
      </c>
      <c r="AK18" s="44"/>
      <c r="AL18" s="45" t="str">
        <f t="shared" si="24"/>
        <v>#DIV/0!</v>
      </c>
      <c r="AM18" s="70" t="str">
        <f t="shared" si="25"/>
        <v>#DIV/0!</v>
      </c>
      <c r="AN18" s="47" t="str">
        <f t="shared" si="26"/>
        <v>#NUM!</v>
      </c>
      <c r="AO18" s="47" t="str">
        <f t="shared" si="27"/>
        <v>#NUM!</v>
      </c>
      <c r="AP18" s="48">
        <f t="shared" si="28"/>
        <v>0.465</v>
      </c>
      <c r="AQ18" s="47" t="str">
        <f t="shared" si="29"/>
        <v>#DIV/0!</v>
      </c>
      <c r="AR18" s="47" t="str">
        <f t="shared" si="30"/>
        <v>#DIV/0!</v>
      </c>
      <c r="AS18" s="48"/>
      <c r="AT18" s="47" t="str">
        <f t="shared" si="31"/>
        <v>#DIV/0!</v>
      </c>
      <c r="AU18" s="71" t="str">
        <f t="shared" si="32"/>
        <v/>
      </c>
      <c r="AV18" s="47">
        <f t="shared" si="33"/>
        <v>-15</v>
      </c>
      <c r="AW18" s="48" t="str">
        <f t="shared" si="34"/>
        <v/>
      </c>
      <c r="AX18" s="47" t="str">
        <f t="shared" si="35"/>
        <v>#DIV/0!</v>
      </c>
      <c r="AY18" s="47">
        <f t="shared" si="36"/>
        <v>0.4375</v>
      </c>
      <c r="AZ18" s="47">
        <f t="shared" si="37"/>
        <v>0.6956521739</v>
      </c>
      <c r="BA18" s="52"/>
      <c r="BB18" s="48"/>
      <c r="BC18" s="48"/>
      <c r="BD18" s="47" t="str">
        <f t="shared" si="38"/>
        <v>#DIV/0!</v>
      </c>
      <c r="BE18" s="47" t="str">
        <f t="shared" si="39"/>
        <v>#DIV/0!</v>
      </c>
      <c r="BF18" s="48" t="str">
        <f t="shared" ref="BF18:BK18" si="112">L18</f>
        <v/>
      </c>
      <c r="BG18" s="48" t="str">
        <f t="shared" si="112"/>
        <v/>
      </c>
      <c r="BH18" s="48" t="str">
        <f t="shared" si="112"/>
        <v/>
      </c>
      <c r="BI18" s="48" t="str">
        <f t="shared" si="112"/>
        <v/>
      </c>
      <c r="BJ18" s="48" t="str">
        <f t="shared" si="112"/>
        <v/>
      </c>
      <c r="BK18" s="48" t="str">
        <f t="shared" si="112"/>
        <v/>
      </c>
      <c r="BL18" s="48" t="str">
        <f t="shared" si="41"/>
        <v/>
      </c>
      <c r="BM18" s="48">
        <f t="shared" si="42"/>
        <v>0</v>
      </c>
      <c r="BN18" s="48">
        <f t="shared" si="43"/>
        <v>0</v>
      </c>
      <c r="BO18" s="48">
        <f t="shared" si="44"/>
        <v>0</v>
      </c>
      <c r="BP18" s="47" t="str">
        <f t="shared" si="45"/>
        <v>#DIV/0!</v>
      </c>
      <c r="BQ18" s="45">
        <v>1.0</v>
      </c>
      <c r="BR18" s="45">
        <v>1.0</v>
      </c>
      <c r="BS18" s="45">
        <v>1.0</v>
      </c>
      <c r="BT18" s="47" t="str">
        <f t="shared" si="46"/>
        <v>#NUM!</v>
      </c>
      <c r="BU18" s="48"/>
      <c r="BV18" s="48">
        <f t="shared" si="47"/>
        <v>3</v>
      </c>
      <c r="BW18" s="48" t="str">
        <f t="shared" ref="BW18:CA18" si="113">MAX(($BU18*BW$58)+BW$59,2)</f>
        <v>#REF!</v>
      </c>
      <c r="BX18" s="48" t="str">
        <f t="shared" si="113"/>
        <v>#REF!</v>
      </c>
      <c r="BY18" s="48" t="str">
        <f t="shared" si="113"/>
        <v>#REF!</v>
      </c>
      <c r="BZ18" s="48" t="str">
        <f t="shared" si="113"/>
        <v>#REF!</v>
      </c>
      <c r="CA18" s="48" t="str">
        <f t="shared" si="113"/>
        <v>#REF!</v>
      </c>
      <c r="CB18" s="48" t="str">
        <f t="shared" si="49"/>
        <v>#REF!</v>
      </c>
      <c r="CC18" s="48" t="str">
        <f t="shared" ref="CC18:CH18" si="114">MAX(($BU18*CC$58)+CC$59,2)</f>
        <v>#REF!</v>
      </c>
      <c r="CD18" s="48" t="str">
        <f t="shared" si="114"/>
        <v>#REF!</v>
      </c>
      <c r="CE18" s="48" t="str">
        <f t="shared" si="114"/>
        <v>#REF!</v>
      </c>
      <c r="CF18" s="48" t="str">
        <f t="shared" si="114"/>
        <v>#REF!</v>
      </c>
      <c r="CG18" s="48" t="str">
        <f t="shared" si="114"/>
        <v>#REF!</v>
      </c>
      <c r="CH18" s="48" t="str">
        <f t="shared" si="114"/>
        <v>#REF!</v>
      </c>
      <c r="CI18" s="48" t="str">
        <f t="shared" si="51"/>
        <v>#REF!</v>
      </c>
      <c r="CJ18" s="48" t="str">
        <f t="shared" si="52"/>
        <v>#REF!</v>
      </c>
      <c r="CK18" s="48" t="str">
        <f t="shared" si="53"/>
        <v>#REF!</v>
      </c>
      <c r="CL18" s="48" t="str">
        <f t="shared" si="54"/>
        <v>#REF!</v>
      </c>
      <c r="CM18" s="47" t="str">
        <f t="shared" si="55"/>
        <v>#REF!</v>
      </c>
      <c r="CN18" s="47" t="str">
        <f t="shared" si="56"/>
        <v>#REF!</v>
      </c>
      <c r="CO18" s="47" t="str">
        <f t="shared" si="57"/>
        <v>#REF!</v>
      </c>
      <c r="CP18" s="47" t="str">
        <f t="shared" si="58"/>
        <v>#REF!</v>
      </c>
      <c r="CQ18" s="48"/>
      <c r="CR18" s="47" t="str">
        <f t="shared" ref="CR18:CU18" si="115">(M18-BY18)/M18</f>
        <v>#REF!</v>
      </c>
      <c r="CS18" s="47" t="str">
        <f t="shared" si="115"/>
        <v>#REF!</v>
      </c>
      <c r="CT18" s="47" t="str">
        <f t="shared" si="115"/>
        <v>#REF!</v>
      </c>
      <c r="CU18" s="47" t="str">
        <f t="shared" si="115"/>
        <v>#REF!</v>
      </c>
      <c r="CV18" s="48"/>
      <c r="CW18" s="47" t="str">
        <f t="shared" si="60"/>
        <v>#REF!</v>
      </c>
      <c r="CX18" s="47" t="str">
        <f t="shared" ref="CX18:CY18" si="116">(R18-CI18)/R18</f>
        <v>#REF!</v>
      </c>
      <c r="CY18" s="47" t="str">
        <f t="shared" si="116"/>
        <v>#REF!</v>
      </c>
      <c r="CZ18" s="47" t="str">
        <f t="shared" ref="CZ18:DA18" si="117">(T18-CD18)/T18</f>
        <v>#REF!</v>
      </c>
      <c r="DA18" s="47" t="str">
        <f t="shared" si="117"/>
        <v>#REF!</v>
      </c>
      <c r="DB18" s="48"/>
      <c r="DC18" s="47" t="str">
        <f t="shared" ref="DC18:DE18" si="118">MAX(0,CN18)*$DB18</f>
        <v>#REF!</v>
      </c>
      <c r="DD18" s="47" t="str">
        <f t="shared" si="118"/>
        <v>#REF!</v>
      </c>
      <c r="DE18" s="47" t="str">
        <f t="shared" si="118"/>
        <v>#REF!</v>
      </c>
      <c r="DF18" s="47" t="str">
        <f t="shared" ref="DF18:DI18" si="119">MAX(0,CR18)*$DB18</f>
        <v>#REF!</v>
      </c>
      <c r="DG18" s="47" t="str">
        <f t="shared" si="119"/>
        <v>#REF!</v>
      </c>
      <c r="DH18" s="47" t="str">
        <f t="shared" si="119"/>
        <v>#REF!</v>
      </c>
      <c r="DI18" s="47" t="str">
        <f t="shared" si="119"/>
        <v>#REF!</v>
      </c>
      <c r="DJ18" s="47" t="str">
        <f t="shared" ref="DJ18:DN18" si="120">MAX(0,CW18)*$DB18</f>
        <v>#REF!</v>
      </c>
      <c r="DK18" s="47" t="str">
        <f t="shared" si="120"/>
        <v>#REF!</v>
      </c>
      <c r="DL18" s="47" t="str">
        <f t="shared" si="120"/>
        <v>#REF!</v>
      </c>
      <c r="DM18" s="47" t="str">
        <f t="shared" si="120"/>
        <v>#REF!</v>
      </c>
      <c r="DN18" s="47" t="str">
        <f t="shared" si="120"/>
        <v>#REF!</v>
      </c>
      <c r="DO18" s="45"/>
      <c r="DP18" s="45"/>
      <c r="DQ18" s="45"/>
      <c r="DR18" s="45"/>
      <c r="DS18" s="45"/>
      <c r="DT18" s="45"/>
      <c r="DU18" s="45"/>
      <c r="DV18" s="66">
        <f t="shared" si="66"/>
        <v>0</v>
      </c>
      <c r="DW18" s="56"/>
      <c r="DX18" s="67"/>
    </row>
    <row r="19" ht="15.0" customHeight="1">
      <c r="A19" s="34" t="s">
        <v>33</v>
      </c>
      <c r="B19" s="68"/>
      <c r="C19" s="59"/>
      <c r="D19" s="59"/>
      <c r="E19" s="60"/>
      <c r="F19" s="61"/>
      <c r="G19" s="59"/>
      <c r="H19" s="45"/>
      <c r="I19" s="62"/>
      <c r="J19" s="43"/>
      <c r="K19" s="43"/>
      <c r="L19" s="43"/>
      <c r="M19" s="43"/>
      <c r="N19" s="43"/>
      <c r="O19" s="43"/>
      <c r="P19" s="63"/>
      <c r="Q19" s="63"/>
      <c r="R19" s="43"/>
      <c r="S19" s="43"/>
      <c r="T19" s="43"/>
      <c r="U19" s="43"/>
      <c r="V19" s="43">
        <f t="shared" si="10"/>
        <v>0</v>
      </c>
      <c r="W19" s="45" t="str">
        <f t="shared" si="11"/>
        <v>#DIV/0!</v>
      </c>
      <c r="X19" s="45" t="str">
        <f t="shared" si="12"/>
        <v>#DIV/0!</v>
      </c>
      <c r="Y19" s="43">
        <f t="shared" si="13"/>
        <v>0</v>
      </c>
      <c r="Z19" s="43">
        <f t="shared" si="14"/>
        <v>0</v>
      </c>
      <c r="AA19" s="43">
        <f t="shared" si="15"/>
        <v>0</v>
      </c>
      <c r="AB19" s="43">
        <f t="shared" si="16"/>
        <v>0</v>
      </c>
      <c r="AC19" s="43">
        <f t="shared" si="17"/>
        <v>0</v>
      </c>
      <c r="AD19" s="43">
        <f t="shared" si="18"/>
        <v>0</v>
      </c>
      <c r="AE19" s="44"/>
      <c r="AF19" s="45" t="str">
        <f t="shared" si="19"/>
        <v>#DIV/0!</v>
      </c>
      <c r="AG19" s="45" t="str">
        <f t="shared" si="20"/>
        <v>#DIV/0!</v>
      </c>
      <c r="AH19" s="45" t="str">
        <f t="shared" si="21"/>
        <v>#DIV/0!</v>
      </c>
      <c r="AI19" s="45" t="str">
        <f t="shared" si="22"/>
        <v>#DIV/0!</v>
      </c>
      <c r="AJ19" s="45" t="str">
        <f t="shared" si="23"/>
        <v>#DIV/0!</v>
      </c>
      <c r="AK19" s="44"/>
      <c r="AL19" s="45" t="str">
        <f t="shared" si="24"/>
        <v>#DIV/0!</v>
      </c>
      <c r="AM19" s="70" t="str">
        <f t="shared" si="25"/>
        <v>#DIV/0!</v>
      </c>
      <c r="AN19" s="47" t="str">
        <f t="shared" si="26"/>
        <v>#NUM!</v>
      </c>
      <c r="AO19" s="47" t="str">
        <f t="shared" si="27"/>
        <v>#NUM!</v>
      </c>
      <c r="AP19" s="48">
        <f t="shared" si="28"/>
        <v>0.465</v>
      </c>
      <c r="AQ19" s="47" t="str">
        <f t="shared" si="29"/>
        <v>#DIV/0!</v>
      </c>
      <c r="AR19" s="47" t="str">
        <f t="shared" si="30"/>
        <v>#DIV/0!</v>
      </c>
      <c r="AS19" s="48"/>
      <c r="AT19" s="47" t="str">
        <f t="shared" si="31"/>
        <v>#DIV/0!</v>
      </c>
      <c r="AU19" s="71" t="str">
        <f t="shared" si="32"/>
        <v/>
      </c>
      <c r="AV19" s="47">
        <f t="shared" si="33"/>
        <v>-15</v>
      </c>
      <c r="AW19" s="48" t="str">
        <f t="shared" si="34"/>
        <v/>
      </c>
      <c r="AX19" s="47" t="str">
        <f t="shared" si="35"/>
        <v>#DIV/0!</v>
      </c>
      <c r="AY19" s="47">
        <f t="shared" si="36"/>
        <v>0.4375</v>
      </c>
      <c r="AZ19" s="47">
        <f t="shared" si="37"/>
        <v>0.6956521739</v>
      </c>
      <c r="BA19" s="52"/>
      <c r="BB19" s="48"/>
      <c r="BC19" s="48"/>
      <c r="BD19" s="47" t="str">
        <f t="shared" si="38"/>
        <v>#DIV/0!</v>
      </c>
      <c r="BE19" s="47" t="str">
        <f t="shared" si="39"/>
        <v>#DIV/0!</v>
      </c>
      <c r="BF19" s="48" t="str">
        <f t="shared" ref="BF19:BK19" si="121">L19</f>
        <v/>
      </c>
      <c r="BG19" s="48" t="str">
        <f t="shared" si="121"/>
        <v/>
      </c>
      <c r="BH19" s="48" t="str">
        <f t="shared" si="121"/>
        <v/>
      </c>
      <c r="BI19" s="48" t="str">
        <f t="shared" si="121"/>
        <v/>
      </c>
      <c r="BJ19" s="48" t="str">
        <f t="shared" si="121"/>
        <v/>
      </c>
      <c r="BK19" s="48" t="str">
        <f t="shared" si="121"/>
        <v/>
      </c>
      <c r="BL19" s="48" t="str">
        <f t="shared" si="41"/>
        <v/>
      </c>
      <c r="BM19" s="48">
        <f t="shared" si="42"/>
        <v>0</v>
      </c>
      <c r="BN19" s="48">
        <f t="shared" si="43"/>
        <v>0</v>
      </c>
      <c r="BO19" s="48">
        <f t="shared" si="44"/>
        <v>0</v>
      </c>
      <c r="BP19" s="47" t="str">
        <f t="shared" si="45"/>
        <v>#DIV/0!</v>
      </c>
      <c r="BQ19" s="54"/>
      <c r="BR19" s="45">
        <v>2.0</v>
      </c>
      <c r="BS19" s="45">
        <v>2.0</v>
      </c>
      <c r="BT19" s="47" t="str">
        <f t="shared" si="46"/>
        <v>#NUM!</v>
      </c>
      <c r="BU19" s="48"/>
      <c r="BV19" s="48">
        <f t="shared" si="47"/>
        <v>3</v>
      </c>
      <c r="BW19" s="48" t="str">
        <f t="shared" ref="BW19:CA19" si="122">MAX(($BU19*BW$58)+BW$59,2)</f>
        <v>#REF!</v>
      </c>
      <c r="BX19" s="48" t="str">
        <f t="shared" si="122"/>
        <v>#REF!</v>
      </c>
      <c r="BY19" s="48" t="str">
        <f t="shared" si="122"/>
        <v>#REF!</v>
      </c>
      <c r="BZ19" s="48" t="str">
        <f t="shared" si="122"/>
        <v>#REF!</v>
      </c>
      <c r="CA19" s="48" t="str">
        <f t="shared" si="122"/>
        <v>#REF!</v>
      </c>
      <c r="CB19" s="48" t="str">
        <f t="shared" si="49"/>
        <v>#REF!</v>
      </c>
      <c r="CC19" s="48" t="str">
        <f t="shared" ref="CC19:CH19" si="123">MAX(($BU19*CC$58)+CC$59,2)</f>
        <v>#REF!</v>
      </c>
      <c r="CD19" s="48" t="str">
        <f t="shared" si="123"/>
        <v>#REF!</v>
      </c>
      <c r="CE19" s="48" t="str">
        <f t="shared" si="123"/>
        <v>#REF!</v>
      </c>
      <c r="CF19" s="48" t="str">
        <f t="shared" si="123"/>
        <v>#REF!</v>
      </c>
      <c r="CG19" s="48" t="str">
        <f t="shared" si="123"/>
        <v>#REF!</v>
      </c>
      <c r="CH19" s="48" t="str">
        <f t="shared" si="123"/>
        <v>#REF!</v>
      </c>
      <c r="CI19" s="48" t="str">
        <f t="shared" si="51"/>
        <v>#REF!</v>
      </c>
      <c r="CJ19" s="48" t="str">
        <f t="shared" si="52"/>
        <v>#REF!</v>
      </c>
      <c r="CK19" s="48" t="str">
        <f t="shared" si="53"/>
        <v>#REF!</v>
      </c>
      <c r="CL19" s="48" t="str">
        <f t="shared" si="54"/>
        <v>#REF!</v>
      </c>
      <c r="CM19" s="47" t="str">
        <f t="shared" si="55"/>
        <v>#REF!</v>
      </c>
      <c r="CN19" s="47" t="str">
        <f t="shared" si="56"/>
        <v>#REF!</v>
      </c>
      <c r="CO19" s="47" t="str">
        <f t="shared" si="57"/>
        <v>#REF!</v>
      </c>
      <c r="CP19" s="47" t="str">
        <f t="shared" si="58"/>
        <v>#REF!</v>
      </c>
      <c r="CQ19" s="48"/>
      <c r="CR19" s="47" t="str">
        <f t="shared" ref="CR19:CU19" si="124">(M19-BY19)/M19</f>
        <v>#REF!</v>
      </c>
      <c r="CS19" s="47" t="str">
        <f t="shared" si="124"/>
        <v>#REF!</v>
      </c>
      <c r="CT19" s="47" t="str">
        <f t="shared" si="124"/>
        <v>#REF!</v>
      </c>
      <c r="CU19" s="47" t="str">
        <f t="shared" si="124"/>
        <v>#REF!</v>
      </c>
      <c r="CV19" s="48"/>
      <c r="CW19" s="47" t="str">
        <f t="shared" si="60"/>
        <v>#REF!</v>
      </c>
      <c r="CX19" s="47" t="str">
        <f t="shared" ref="CX19:CY19" si="125">(R19-CI19)/R19</f>
        <v>#REF!</v>
      </c>
      <c r="CY19" s="47" t="str">
        <f t="shared" si="125"/>
        <v>#REF!</v>
      </c>
      <c r="CZ19" s="47" t="str">
        <f t="shared" ref="CZ19:DA19" si="126">(T19-CD19)/T19</f>
        <v>#REF!</v>
      </c>
      <c r="DA19" s="47" t="str">
        <f t="shared" si="126"/>
        <v>#REF!</v>
      </c>
      <c r="DB19" s="48"/>
      <c r="DC19" s="47" t="str">
        <f t="shared" ref="DC19:DE19" si="127">MAX(0,CN19)*$DB19</f>
        <v>#REF!</v>
      </c>
      <c r="DD19" s="47" t="str">
        <f t="shared" si="127"/>
        <v>#REF!</v>
      </c>
      <c r="DE19" s="47" t="str">
        <f t="shared" si="127"/>
        <v>#REF!</v>
      </c>
      <c r="DF19" s="47" t="str">
        <f t="shared" ref="DF19:DI19" si="128">MAX(0,CR19)*$DB19</f>
        <v>#REF!</v>
      </c>
      <c r="DG19" s="47" t="str">
        <f t="shared" si="128"/>
        <v>#REF!</v>
      </c>
      <c r="DH19" s="47" t="str">
        <f t="shared" si="128"/>
        <v>#REF!</v>
      </c>
      <c r="DI19" s="47" t="str">
        <f t="shared" si="128"/>
        <v>#REF!</v>
      </c>
      <c r="DJ19" s="47" t="str">
        <f t="shared" ref="DJ19:DN19" si="129">MAX(0,CW19)*$DB19</f>
        <v>#REF!</v>
      </c>
      <c r="DK19" s="47" t="str">
        <f t="shared" si="129"/>
        <v>#REF!</v>
      </c>
      <c r="DL19" s="47" t="str">
        <f t="shared" si="129"/>
        <v>#REF!</v>
      </c>
      <c r="DM19" s="47" t="str">
        <f t="shared" si="129"/>
        <v>#REF!</v>
      </c>
      <c r="DN19" s="47" t="str">
        <f t="shared" si="129"/>
        <v>#REF!</v>
      </c>
      <c r="DO19" s="45"/>
      <c r="DP19" s="45"/>
      <c r="DQ19" s="45"/>
      <c r="DR19" s="45"/>
      <c r="DS19" s="45"/>
      <c r="DT19" s="45"/>
      <c r="DU19" s="45"/>
      <c r="DV19" s="55">
        <f t="shared" si="66"/>
        <v>0</v>
      </c>
      <c r="DW19" s="56"/>
      <c r="DX19" s="67"/>
    </row>
    <row r="20" ht="14.25" customHeight="1">
      <c r="A20" s="34" t="s">
        <v>33</v>
      </c>
      <c r="B20" s="68"/>
      <c r="C20" s="59"/>
      <c r="D20" s="59"/>
      <c r="E20" s="60"/>
      <c r="F20" s="61"/>
      <c r="G20" s="59"/>
      <c r="H20" s="45"/>
      <c r="I20" s="62"/>
      <c r="J20" s="43"/>
      <c r="K20" s="43"/>
      <c r="L20" s="43"/>
      <c r="M20" s="43"/>
      <c r="N20" s="43"/>
      <c r="O20" s="43"/>
      <c r="P20" s="63"/>
      <c r="Q20" s="63"/>
      <c r="R20" s="43"/>
      <c r="S20" s="43"/>
      <c r="T20" s="43"/>
      <c r="U20" s="43"/>
      <c r="V20" s="43">
        <f t="shared" si="10"/>
        <v>0</v>
      </c>
      <c r="W20" s="45" t="str">
        <f t="shared" si="11"/>
        <v>#DIV/0!</v>
      </c>
      <c r="X20" s="45" t="str">
        <f t="shared" si="12"/>
        <v>#DIV/0!</v>
      </c>
      <c r="Y20" s="43">
        <f t="shared" si="13"/>
        <v>0</v>
      </c>
      <c r="Z20" s="43">
        <f t="shared" si="14"/>
        <v>0</v>
      </c>
      <c r="AA20" s="43">
        <f t="shared" si="15"/>
        <v>0</v>
      </c>
      <c r="AB20" s="43">
        <f t="shared" si="16"/>
        <v>0</v>
      </c>
      <c r="AC20" s="43">
        <f t="shared" si="17"/>
        <v>0</v>
      </c>
      <c r="AD20" s="43">
        <f t="shared" si="18"/>
        <v>0</v>
      </c>
      <c r="AE20" s="44"/>
      <c r="AF20" s="45" t="str">
        <f t="shared" si="19"/>
        <v>#DIV/0!</v>
      </c>
      <c r="AG20" s="45" t="str">
        <f t="shared" si="20"/>
        <v>#DIV/0!</v>
      </c>
      <c r="AH20" s="45" t="str">
        <f t="shared" si="21"/>
        <v>#DIV/0!</v>
      </c>
      <c r="AI20" s="45" t="str">
        <f t="shared" si="22"/>
        <v>#DIV/0!</v>
      </c>
      <c r="AJ20" s="45" t="str">
        <f t="shared" si="23"/>
        <v>#DIV/0!</v>
      </c>
      <c r="AK20" s="44"/>
      <c r="AL20" s="45" t="str">
        <f t="shared" si="24"/>
        <v>#DIV/0!</v>
      </c>
      <c r="AM20" s="70" t="str">
        <f t="shared" si="25"/>
        <v>#DIV/0!</v>
      </c>
      <c r="AN20" s="47" t="str">
        <f t="shared" si="26"/>
        <v>#NUM!</v>
      </c>
      <c r="AO20" s="47" t="str">
        <f t="shared" si="27"/>
        <v>#NUM!</v>
      </c>
      <c r="AP20" s="48">
        <f t="shared" si="28"/>
        <v>0.465</v>
      </c>
      <c r="AQ20" s="47" t="str">
        <f t="shared" si="29"/>
        <v>#DIV/0!</v>
      </c>
      <c r="AR20" s="47" t="str">
        <f t="shared" si="30"/>
        <v>#DIV/0!</v>
      </c>
      <c r="AS20" s="48"/>
      <c r="AT20" s="47" t="str">
        <f t="shared" si="31"/>
        <v>#DIV/0!</v>
      </c>
      <c r="AU20" s="71" t="str">
        <f t="shared" si="32"/>
        <v/>
      </c>
      <c r="AV20" s="47">
        <f t="shared" si="33"/>
        <v>-15</v>
      </c>
      <c r="AW20" s="48" t="str">
        <f t="shared" si="34"/>
        <v/>
      </c>
      <c r="AX20" s="47" t="str">
        <f t="shared" si="35"/>
        <v>#DIV/0!</v>
      </c>
      <c r="AY20" s="47">
        <f t="shared" si="36"/>
        <v>0.4375</v>
      </c>
      <c r="AZ20" s="47">
        <f t="shared" si="37"/>
        <v>0.6956521739</v>
      </c>
      <c r="BA20" s="52"/>
      <c r="BB20" s="48"/>
      <c r="BC20" s="48"/>
      <c r="BD20" s="47" t="str">
        <f t="shared" si="38"/>
        <v>#DIV/0!</v>
      </c>
      <c r="BE20" s="47" t="str">
        <f t="shared" si="39"/>
        <v>#DIV/0!</v>
      </c>
      <c r="BF20" s="48" t="str">
        <f t="shared" ref="BF20:BK20" si="130">L20</f>
        <v/>
      </c>
      <c r="BG20" s="48" t="str">
        <f t="shared" si="130"/>
        <v/>
      </c>
      <c r="BH20" s="48" t="str">
        <f t="shared" si="130"/>
        <v/>
      </c>
      <c r="BI20" s="48" t="str">
        <f t="shared" si="130"/>
        <v/>
      </c>
      <c r="BJ20" s="48" t="str">
        <f t="shared" si="130"/>
        <v/>
      </c>
      <c r="BK20" s="48" t="str">
        <f t="shared" si="130"/>
        <v/>
      </c>
      <c r="BL20" s="48" t="str">
        <f t="shared" si="41"/>
        <v/>
      </c>
      <c r="BM20" s="48">
        <f t="shared" si="42"/>
        <v>0</v>
      </c>
      <c r="BN20" s="48">
        <f t="shared" si="43"/>
        <v>0</v>
      </c>
      <c r="BO20" s="48">
        <f t="shared" si="44"/>
        <v>0</v>
      </c>
      <c r="BP20" s="47" t="str">
        <f t="shared" si="45"/>
        <v>#DIV/0!</v>
      </c>
      <c r="BQ20" s="45">
        <v>65.0</v>
      </c>
      <c r="BR20" s="45">
        <v>160.0</v>
      </c>
      <c r="BS20" s="45">
        <v>2.0</v>
      </c>
      <c r="BT20" s="47" t="str">
        <f t="shared" si="46"/>
        <v>#NUM!</v>
      </c>
      <c r="BU20" s="48"/>
      <c r="BV20" s="48">
        <f t="shared" si="47"/>
        <v>3</v>
      </c>
      <c r="BW20" s="48" t="str">
        <f t="shared" ref="BW20:CA20" si="131">MAX(($BU20*BW$58)+BW$59,2)</f>
        <v>#REF!</v>
      </c>
      <c r="BX20" s="48" t="str">
        <f t="shared" si="131"/>
        <v>#REF!</v>
      </c>
      <c r="BY20" s="48" t="str">
        <f t="shared" si="131"/>
        <v>#REF!</v>
      </c>
      <c r="BZ20" s="48" t="str">
        <f t="shared" si="131"/>
        <v>#REF!</v>
      </c>
      <c r="CA20" s="48" t="str">
        <f t="shared" si="131"/>
        <v>#REF!</v>
      </c>
      <c r="CB20" s="48" t="str">
        <f t="shared" si="49"/>
        <v>#REF!</v>
      </c>
      <c r="CC20" s="48" t="str">
        <f t="shared" ref="CC20:CH20" si="132">MAX(($BU20*CC$58)+CC$59,2)</f>
        <v>#REF!</v>
      </c>
      <c r="CD20" s="48" t="str">
        <f t="shared" si="132"/>
        <v>#REF!</v>
      </c>
      <c r="CE20" s="48" t="str">
        <f t="shared" si="132"/>
        <v>#REF!</v>
      </c>
      <c r="CF20" s="48" t="str">
        <f t="shared" si="132"/>
        <v>#REF!</v>
      </c>
      <c r="CG20" s="48" t="str">
        <f t="shared" si="132"/>
        <v>#REF!</v>
      </c>
      <c r="CH20" s="48" t="str">
        <f t="shared" si="132"/>
        <v>#REF!</v>
      </c>
      <c r="CI20" s="48" t="str">
        <f t="shared" si="51"/>
        <v>#REF!</v>
      </c>
      <c r="CJ20" s="48" t="str">
        <f t="shared" si="52"/>
        <v>#REF!</v>
      </c>
      <c r="CK20" s="48" t="str">
        <f t="shared" si="53"/>
        <v>#REF!</v>
      </c>
      <c r="CL20" s="48" t="str">
        <f t="shared" si="54"/>
        <v>#REF!</v>
      </c>
      <c r="CM20" s="47" t="str">
        <f t="shared" si="55"/>
        <v>#REF!</v>
      </c>
      <c r="CN20" s="47" t="str">
        <f t="shared" si="56"/>
        <v>#REF!</v>
      </c>
      <c r="CO20" s="47" t="str">
        <f t="shared" si="57"/>
        <v>#REF!</v>
      </c>
      <c r="CP20" s="47" t="str">
        <f t="shared" si="58"/>
        <v>#REF!</v>
      </c>
      <c r="CQ20" s="48"/>
      <c r="CR20" s="47" t="str">
        <f t="shared" ref="CR20:CU20" si="133">(M20-BY20)/M20</f>
        <v>#REF!</v>
      </c>
      <c r="CS20" s="47" t="str">
        <f t="shared" si="133"/>
        <v>#REF!</v>
      </c>
      <c r="CT20" s="47" t="str">
        <f t="shared" si="133"/>
        <v>#REF!</v>
      </c>
      <c r="CU20" s="47" t="str">
        <f t="shared" si="133"/>
        <v>#REF!</v>
      </c>
      <c r="CV20" s="48"/>
      <c r="CW20" s="47" t="str">
        <f t="shared" si="60"/>
        <v>#REF!</v>
      </c>
      <c r="CX20" s="47" t="str">
        <f t="shared" ref="CX20:CY20" si="134">(R20-CI20)/R20</f>
        <v>#REF!</v>
      </c>
      <c r="CY20" s="47" t="str">
        <f t="shared" si="134"/>
        <v>#REF!</v>
      </c>
      <c r="CZ20" s="47" t="str">
        <f t="shared" ref="CZ20:DA20" si="135">(T20-CD20)/T20</f>
        <v>#REF!</v>
      </c>
      <c r="DA20" s="47" t="str">
        <f t="shared" si="135"/>
        <v>#REF!</v>
      </c>
      <c r="DB20" s="48"/>
      <c r="DC20" s="47" t="str">
        <f t="shared" ref="DC20:DE20" si="136">MAX(0,CN20)*$DB20</f>
        <v>#REF!</v>
      </c>
      <c r="DD20" s="47" t="str">
        <f t="shared" si="136"/>
        <v>#REF!</v>
      </c>
      <c r="DE20" s="47" t="str">
        <f t="shared" si="136"/>
        <v>#REF!</v>
      </c>
      <c r="DF20" s="47" t="str">
        <f t="shared" ref="DF20:DI20" si="137">MAX(0,CR20)*$DB20</f>
        <v>#REF!</v>
      </c>
      <c r="DG20" s="47" t="str">
        <f t="shared" si="137"/>
        <v>#REF!</v>
      </c>
      <c r="DH20" s="47" t="str">
        <f t="shared" si="137"/>
        <v>#REF!</v>
      </c>
      <c r="DI20" s="47" t="str">
        <f t="shared" si="137"/>
        <v>#REF!</v>
      </c>
      <c r="DJ20" s="47" t="str">
        <f t="shared" ref="DJ20:DN20" si="138">MAX(0,CW20)*$DB20</f>
        <v>#REF!</v>
      </c>
      <c r="DK20" s="47" t="str">
        <f t="shared" si="138"/>
        <v>#REF!</v>
      </c>
      <c r="DL20" s="47" t="str">
        <f t="shared" si="138"/>
        <v>#REF!</v>
      </c>
      <c r="DM20" s="47" t="str">
        <f t="shared" si="138"/>
        <v>#REF!</v>
      </c>
      <c r="DN20" s="47" t="str">
        <f t="shared" si="138"/>
        <v>#REF!</v>
      </c>
      <c r="DO20" s="45"/>
      <c r="DP20" s="45"/>
      <c r="DQ20" s="45"/>
      <c r="DR20" s="45"/>
      <c r="DS20" s="45"/>
      <c r="DT20" s="45"/>
      <c r="DU20" s="45"/>
      <c r="DV20" s="66">
        <f t="shared" si="66"/>
        <v>0</v>
      </c>
      <c r="DW20" s="56"/>
      <c r="DX20" s="67"/>
    </row>
    <row r="21" ht="14.25" customHeight="1">
      <c r="A21" s="34" t="s">
        <v>33</v>
      </c>
      <c r="B21" s="68"/>
      <c r="C21" s="59"/>
      <c r="D21" s="59"/>
      <c r="E21" s="60"/>
      <c r="F21" s="61"/>
      <c r="G21" s="59"/>
      <c r="H21" s="45"/>
      <c r="I21" s="62"/>
      <c r="J21" s="43"/>
      <c r="K21" s="43"/>
      <c r="L21" s="43"/>
      <c r="M21" s="43"/>
      <c r="N21" s="43"/>
      <c r="O21" s="43"/>
      <c r="P21" s="63"/>
      <c r="Q21" s="63"/>
      <c r="R21" s="43"/>
      <c r="S21" s="43"/>
      <c r="T21" s="43"/>
      <c r="U21" s="43"/>
      <c r="V21" s="43">
        <f t="shared" si="10"/>
        <v>0</v>
      </c>
      <c r="W21" s="45" t="str">
        <f t="shared" si="11"/>
        <v>#DIV/0!</v>
      </c>
      <c r="X21" s="45" t="str">
        <f t="shared" si="12"/>
        <v>#DIV/0!</v>
      </c>
      <c r="Y21" s="43">
        <f t="shared" si="13"/>
        <v>0</v>
      </c>
      <c r="Z21" s="43">
        <f t="shared" si="14"/>
        <v>0</v>
      </c>
      <c r="AA21" s="43">
        <f t="shared" si="15"/>
        <v>0</v>
      </c>
      <c r="AB21" s="43">
        <f t="shared" si="16"/>
        <v>0</v>
      </c>
      <c r="AC21" s="43">
        <f t="shared" si="17"/>
        <v>0</v>
      </c>
      <c r="AD21" s="43">
        <f t="shared" si="18"/>
        <v>0</v>
      </c>
      <c r="AE21" s="44"/>
      <c r="AF21" s="45" t="str">
        <f t="shared" si="19"/>
        <v>#DIV/0!</v>
      </c>
      <c r="AG21" s="45" t="str">
        <f t="shared" si="20"/>
        <v>#DIV/0!</v>
      </c>
      <c r="AH21" s="45" t="str">
        <f t="shared" si="21"/>
        <v>#DIV/0!</v>
      </c>
      <c r="AI21" s="45" t="str">
        <f t="shared" si="22"/>
        <v>#DIV/0!</v>
      </c>
      <c r="AJ21" s="45" t="str">
        <f t="shared" si="23"/>
        <v>#DIV/0!</v>
      </c>
      <c r="AK21" s="44"/>
      <c r="AL21" s="45" t="str">
        <f t="shared" si="24"/>
        <v>#DIV/0!</v>
      </c>
      <c r="AM21" s="70" t="str">
        <f t="shared" si="25"/>
        <v>#DIV/0!</v>
      </c>
      <c r="AN21" s="47" t="str">
        <f t="shared" si="26"/>
        <v>#NUM!</v>
      </c>
      <c r="AO21" s="47" t="str">
        <f t="shared" si="27"/>
        <v>#NUM!</v>
      </c>
      <c r="AP21" s="48">
        <f t="shared" si="28"/>
        <v>0.465</v>
      </c>
      <c r="AQ21" s="47" t="str">
        <f t="shared" si="29"/>
        <v>#DIV/0!</v>
      </c>
      <c r="AR21" s="47" t="str">
        <f t="shared" si="30"/>
        <v>#DIV/0!</v>
      </c>
      <c r="AS21" s="48"/>
      <c r="AT21" s="47" t="str">
        <f t="shared" si="31"/>
        <v>#DIV/0!</v>
      </c>
      <c r="AU21" s="71" t="str">
        <f t="shared" si="32"/>
        <v/>
      </c>
      <c r="AV21" s="47">
        <f t="shared" si="33"/>
        <v>-15</v>
      </c>
      <c r="AW21" s="48" t="str">
        <f t="shared" si="34"/>
        <v/>
      </c>
      <c r="AX21" s="47" t="str">
        <f t="shared" si="35"/>
        <v>#DIV/0!</v>
      </c>
      <c r="AY21" s="47">
        <f t="shared" si="36"/>
        <v>0.4375</v>
      </c>
      <c r="AZ21" s="47">
        <f t="shared" si="37"/>
        <v>0.6956521739</v>
      </c>
      <c r="BA21" s="52"/>
      <c r="BB21" s="48"/>
      <c r="BC21" s="48"/>
      <c r="BD21" s="47" t="str">
        <f t="shared" si="38"/>
        <v>#DIV/0!</v>
      </c>
      <c r="BE21" s="47" t="str">
        <f t="shared" si="39"/>
        <v>#DIV/0!</v>
      </c>
      <c r="BF21" s="48" t="str">
        <f t="shared" ref="BF21:BK21" si="139">L21</f>
        <v/>
      </c>
      <c r="BG21" s="48" t="str">
        <f t="shared" si="139"/>
        <v/>
      </c>
      <c r="BH21" s="48" t="str">
        <f t="shared" si="139"/>
        <v/>
      </c>
      <c r="BI21" s="48" t="str">
        <f t="shared" si="139"/>
        <v/>
      </c>
      <c r="BJ21" s="48" t="str">
        <f t="shared" si="139"/>
        <v/>
      </c>
      <c r="BK21" s="48" t="str">
        <f t="shared" si="139"/>
        <v/>
      </c>
      <c r="BL21" s="48" t="str">
        <f t="shared" si="41"/>
        <v/>
      </c>
      <c r="BM21" s="48">
        <f t="shared" si="42"/>
        <v>0</v>
      </c>
      <c r="BN21" s="48">
        <f t="shared" si="43"/>
        <v>0</v>
      </c>
      <c r="BO21" s="48">
        <f t="shared" si="44"/>
        <v>0</v>
      </c>
      <c r="BP21" s="47" t="str">
        <f t="shared" si="45"/>
        <v>#DIV/0!</v>
      </c>
      <c r="BQ21" s="54"/>
      <c r="BR21" s="54"/>
      <c r="BS21" s="54"/>
      <c r="BT21" s="47" t="str">
        <f t="shared" si="46"/>
        <v>#NUM!</v>
      </c>
      <c r="BU21" s="48"/>
      <c r="BV21" s="48">
        <f t="shared" si="47"/>
        <v>3</v>
      </c>
      <c r="BW21" s="48" t="str">
        <f t="shared" ref="BW21:CA21" si="140">MAX(($BU21*BW$58)+BW$59,2)</f>
        <v>#REF!</v>
      </c>
      <c r="BX21" s="48" t="str">
        <f t="shared" si="140"/>
        <v>#REF!</v>
      </c>
      <c r="BY21" s="48" t="str">
        <f t="shared" si="140"/>
        <v>#REF!</v>
      </c>
      <c r="BZ21" s="48" t="str">
        <f t="shared" si="140"/>
        <v>#REF!</v>
      </c>
      <c r="CA21" s="48" t="str">
        <f t="shared" si="140"/>
        <v>#REF!</v>
      </c>
      <c r="CB21" s="48" t="str">
        <f t="shared" si="49"/>
        <v>#REF!</v>
      </c>
      <c r="CC21" s="48" t="str">
        <f t="shared" ref="CC21:CH21" si="141">MAX(($BU21*CC$58)+CC$59,2)</f>
        <v>#REF!</v>
      </c>
      <c r="CD21" s="48" t="str">
        <f t="shared" si="141"/>
        <v>#REF!</v>
      </c>
      <c r="CE21" s="48" t="str">
        <f t="shared" si="141"/>
        <v>#REF!</v>
      </c>
      <c r="CF21" s="48" t="str">
        <f t="shared" si="141"/>
        <v>#REF!</v>
      </c>
      <c r="CG21" s="48" t="str">
        <f t="shared" si="141"/>
        <v>#REF!</v>
      </c>
      <c r="CH21" s="48" t="str">
        <f t="shared" si="141"/>
        <v>#REF!</v>
      </c>
      <c r="CI21" s="48" t="str">
        <f t="shared" si="51"/>
        <v>#REF!</v>
      </c>
      <c r="CJ21" s="48" t="str">
        <f t="shared" si="52"/>
        <v>#REF!</v>
      </c>
      <c r="CK21" s="48" t="str">
        <f t="shared" si="53"/>
        <v>#REF!</v>
      </c>
      <c r="CL21" s="48" t="str">
        <f t="shared" si="54"/>
        <v>#REF!</v>
      </c>
      <c r="CM21" s="47" t="str">
        <f t="shared" si="55"/>
        <v>#REF!</v>
      </c>
      <c r="CN21" s="47" t="str">
        <f t="shared" si="56"/>
        <v>#REF!</v>
      </c>
      <c r="CO21" s="47" t="str">
        <f t="shared" si="57"/>
        <v>#REF!</v>
      </c>
      <c r="CP21" s="47" t="str">
        <f t="shared" si="58"/>
        <v>#REF!</v>
      </c>
      <c r="CQ21" s="48"/>
      <c r="CR21" s="47" t="str">
        <f t="shared" ref="CR21:CU21" si="142">(M21-BY21)/M21</f>
        <v>#REF!</v>
      </c>
      <c r="CS21" s="47" t="str">
        <f t="shared" si="142"/>
        <v>#REF!</v>
      </c>
      <c r="CT21" s="47" t="str">
        <f t="shared" si="142"/>
        <v>#REF!</v>
      </c>
      <c r="CU21" s="47" t="str">
        <f t="shared" si="142"/>
        <v>#REF!</v>
      </c>
      <c r="CV21" s="48"/>
      <c r="CW21" s="47" t="str">
        <f t="shared" si="60"/>
        <v>#REF!</v>
      </c>
      <c r="CX21" s="47" t="str">
        <f t="shared" ref="CX21:CY21" si="143">(R21-CI21)/R21</f>
        <v>#REF!</v>
      </c>
      <c r="CY21" s="47" t="str">
        <f t="shared" si="143"/>
        <v>#REF!</v>
      </c>
      <c r="CZ21" s="47" t="str">
        <f t="shared" ref="CZ21:DA21" si="144">(T21-CD21)/T21</f>
        <v>#REF!</v>
      </c>
      <c r="DA21" s="47" t="str">
        <f t="shared" si="144"/>
        <v>#REF!</v>
      </c>
      <c r="DB21" s="48"/>
      <c r="DC21" s="47" t="str">
        <f t="shared" ref="DC21:DE21" si="145">MAX(0,CN21)*$DB21</f>
        <v>#REF!</v>
      </c>
      <c r="DD21" s="47" t="str">
        <f t="shared" si="145"/>
        <v>#REF!</v>
      </c>
      <c r="DE21" s="47" t="str">
        <f t="shared" si="145"/>
        <v>#REF!</v>
      </c>
      <c r="DF21" s="47" t="str">
        <f t="shared" ref="DF21:DI21" si="146">MAX(0,CR21)*$DB21</f>
        <v>#REF!</v>
      </c>
      <c r="DG21" s="47" t="str">
        <f t="shared" si="146"/>
        <v>#REF!</v>
      </c>
      <c r="DH21" s="47" t="str">
        <f t="shared" si="146"/>
        <v>#REF!</v>
      </c>
      <c r="DI21" s="47" t="str">
        <f t="shared" si="146"/>
        <v>#REF!</v>
      </c>
      <c r="DJ21" s="47" t="str">
        <f t="shared" ref="DJ21:DN21" si="147">MAX(0,CW21)*$DB21</f>
        <v>#REF!</v>
      </c>
      <c r="DK21" s="47" t="str">
        <f t="shared" si="147"/>
        <v>#REF!</v>
      </c>
      <c r="DL21" s="47" t="str">
        <f t="shared" si="147"/>
        <v>#REF!</v>
      </c>
      <c r="DM21" s="47" t="str">
        <f t="shared" si="147"/>
        <v>#REF!</v>
      </c>
      <c r="DN21" s="47" t="str">
        <f t="shared" si="147"/>
        <v>#REF!</v>
      </c>
      <c r="DO21" s="45"/>
      <c r="DP21" s="45"/>
      <c r="DQ21" s="45"/>
      <c r="DR21" s="45"/>
      <c r="DS21" s="45"/>
      <c r="DT21" s="45"/>
      <c r="DU21" s="45"/>
      <c r="DV21" s="55">
        <f t="shared" si="66"/>
        <v>0</v>
      </c>
      <c r="DW21" s="56"/>
      <c r="DX21" s="67"/>
    </row>
    <row r="22" ht="14.25" customHeight="1">
      <c r="A22" s="34" t="s">
        <v>33</v>
      </c>
      <c r="B22" s="69"/>
      <c r="C22" s="59"/>
      <c r="D22" s="59"/>
      <c r="E22" s="60"/>
      <c r="F22" s="61"/>
      <c r="G22" s="59"/>
      <c r="H22" s="45"/>
      <c r="I22" s="62"/>
      <c r="J22" s="43"/>
      <c r="K22" s="43"/>
      <c r="L22" s="43"/>
      <c r="M22" s="43"/>
      <c r="N22" s="43"/>
      <c r="O22" s="43"/>
      <c r="P22" s="63"/>
      <c r="Q22" s="63"/>
      <c r="R22" s="43"/>
      <c r="S22" s="43"/>
      <c r="T22" s="43"/>
      <c r="U22" s="43"/>
      <c r="V22" s="43">
        <f t="shared" si="10"/>
        <v>0</v>
      </c>
      <c r="W22" s="45" t="str">
        <f t="shared" si="11"/>
        <v>#DIV/0!</v>
      </c>
      <c r="X22" s="45" t="str">
        <f t="shared" si="12"/>
        <v>#DIV/0!</v>
      </c>
      <c r="Y22" s="43">
        <f t="shared" si="13"/>
        <v>0</v>
      </c>
      <c r="Z22" s="43">
        <f t="shared" si="14"/>
        <v>0</v>
      </c>
      <c r="AA22" s="43">
        <f t="shared" si="15"/>
        <v>0</v>
      </c>
      <c r="AB22" s="43">
        <f t="shared" si="16"/>
        <v>0</v>
      </c>
      <c r="AC22" s="43">
        <f t="shared" si="17"/>
        <v>0</v>
      </c>
      <c r="AD22" s="43">
        <f t="shared" si="18"/>
        <v>0</v>
      </c>
      <c r="AE22" s="44"/>
      <c r="AF22" s="45" t="str">
        <f t="shared" si="19"/>
        <v>#DIV/0!</v>
      </c>
      <c r="AG22" s="45" t="str">
        <f t="shared" si="20"/>
        <v>#DIV/0!</v>
      </c>
      <c r="AH22" s="45" t="str">
        <f t="shared" si="21"/>
        <v>#DIV/0!</v>
      </c>
      <c r="AI22" s="45" t="str">
        <f t="shared" si="22"/>
        <v>#DIV/0!</v>
      </c>
      <c r="AJ22" s="45" t="str">
        <f t="shared" si="23"/>
        <v>#DIV/0!</v>
      </c>
      <c r="AK22" s="44"/>
      <c r="AL22" s="45" t="str">
        <f t="shared" si="24"/>
        <v>#DIV/0!</v>
      </c>
      <c r="AM22" s="70" t="str">
        <f t="shared" si="25"/>
        <v>#DIV/0!</v>
      </c>
      <c r="AN22" s="47" t="str">
        <f t="shared" si="26"/>
        <v>#NUM!</v>
      </c>
      <c r="AO22" s="47" t="str">
        <f t="shared" si="27"/>
        <v>#NUM!</v>
      </c>
      <c r="AP22" s="48">
        <f t="shared" si="28"/>
        <v>0.465</v>
      </c>
      <c r="AQ22" s="47" t="str">
        <f t="shared" si="29"/>
        <v>#DIV/0!</v>
      </c>
      <c r="AR22" s="47" t="str">
        <f t="shared" si="30"/>
        <v>#DIV/0!</v>
      </c>
      <c r="AS22" s="48"/>
      <c r="AT22" s="47" t="str">
        <f t="shared" si="31"/>
        <v>#DIV/0!</v>
      </c>
      <c r="AU22" s="71" t="str">
        <f t="shared" si="32"/>
        <v/>
      </c>
      <c r="AV22" s="47">
        <f t="shared" si="33"/>
        <v>-15</v>
      </c>
      <c r="AW22" s="48" t="str">
        <f t="shared" si="34"/>
        <v/>
      </c>
      <c r="AX22" s="47" t="str">
        <f t="shared" si="35"/>
        <v>#DIV/0!</v>
      </c>
      <c r="AY22" s="47">
        <f t="shared" si="36"/>
        <v>0.4375</v>
      </c>
      <c r="AZ22" s="47">
        <f t="shared" si="37"/>
        <v>0.6956521739</v>
      </c>
      <c r="BA22" s="52"/>
      <c r="BB22" s="48"/>
      <c r="BC22" s="48"/>
      <c r="BD22" s="47" t="str">
        <f t="shared" si="38"/>
        <v>#DIV/0!</v>
      </c>
      <c r="BE22" s="47" t="str">
        <f t="shared" si="39"/>
        <v>#DIV/0!</v>
      </c>
      <c r="BF22" s="48" t="str">
        <f t="shared" ref="BF22:BK22" si="148">L22</f>
        <v/>
      </c>
      <c r="BG22" s="48" t="str">
        <f t="shared" si="148"/>
        <v/>
      </c>
      <c r="BH22" s="48" t="str">
        <f t="shared" si="148"/>
        <v/>
      </c>
      <c r="BI22" s="48" t="str">
        <f t="shared" si="148"/>
        <v/>
      </c>
      <c r="BJ22" s="48" t="str">
        <f t="shared" si="148"/>
        <v/>
      </c>
      <c r="BK22" s="48" t="str">
        <f t="shared" si="148"/>
        <v/>
      </c>
      <c r="BL22" s="48" t="str">
        <f t="shared" si="41"/>
        <v/>
      </c>
      <c r="BM22" s="48">
        <f t="shared" si="42"/>
        <v>0</v>
      </c>
      <c r="BN22" s="48">
        <f t="shared" si="43"/>
        <v>0</v>
      </c>
      <c r="BO22" s="48">
        <f t="shared" si="44"/>
        <v>0</v>
      </c>
      <c r="BP22" s="47" t="str">
        <f t="shared" si="45"/>
        <v>#DIV/0!</v>
      </c>
      <c r="BQ22" s="54"/>
      <c r="BR22" s="54"/>
      <c r="BS22" s="54"/>
      <c r="BT22" s="47" t="str">
        <f t="shared" si="46"/>
        <v>#NUM!</v>
      </c>
      <c r="BU22" s="48"/>
      <c r="BV22" s="48">
        <f t="shared" si="47"/>
        <v>3</v>
      </c>
      <c r="BW22" s="48" t="str">
        <f t="shared" ref="BW22:CA22" si="149">MAX(($BU22*BW$58)+BW$59,2)</f>
        <v>#REF!</v>
      </c>
      <c r="BX22" s="48" t="str">
        <f t="shared" si="149"/>
        <v>#REF!</v>
      </c>
      <c r="BY22" s="48" t="str">
        <f t="shared" si="149"/>
        <v>#REF!</v>
      </c>
      <c r="BZ22" s="48" t="str">
        <f t="shared" si="149"/>
        <v>#REF!</v>
      </c>
      <c r="CA22" s="48" t="str">
        <f t="shared" si="149"/>
        <v>#REF!</v>
      </c>
      <c r="CB22" s="48" t="str">
        <f t="shared" si="49"/>
        <v>#REF!</v>
      </c>
      <c r="CC22" s="48" t="str">
        <f t="shared" ref="CC22:CH22" si="150">MAX(($BU22*CC$58)+CC$59,2)</f>
        <v>#REF!</v>
      </c>
      <c r="CD22" s="48" t="str">
        <f t="shared" si="150"/>
        <v>#REF!</v>
      </c>
      <c r="CE22" s="48" t="str">
        <f t="shared" si="150"/>
        <v>#REF!</v>
      </c>
      <c r="CF22" s="48" t="str">
        <f t="shared" si="150"/>
        <v>#REF!</v>
      </c>
      <c r="CG22" s="48" t="str">
        <f t="shared" si="150"/>
        <v>#REF!</v>
      </c>
      <c r="CH22" s="48" t="str">
        <f t="shared" si="150"/>
        <v>#REF!</v>
      </c>
      <c r="CI22" s="48" t="str">
        <f t="shared" si="51"/>
        <v>#REF!</v>
      </c>
      <c r="CJ22" s="48" t="str">
        <f t="shared" si="52"/>
        <v>#REF!</v>
      </c>
      <c r="CK22" s="48" t="str">
        <f t="shared" si="53"/>
        <v>#REF!</v>
      </c>
      <c r="CL22" s="48" t="str">
        <f t="shared" si="54"/>
        <v>#REF!</v>
      </c>
      <c r="CM22" s="47" t="str">
        <f t="shared" si="55"/>
        <v>#REF!</v>
      </c>
      <c r="CN22" s="47" t="str">
        <f t="shared" si="56"/>
        <v>#REF!</v>
      </c>
      <c r="CO22" s="47" t="str">
        <f t="shared" si="57"/>
        <v>#REF!</v>
      </c>
      <c r="CP22" s="47" t="str">
        <f t="shared" si="58"/>
        <v>#REF!</v>
      </c>
      <c r="CQ22" s="48"/>
      <c r="CR22" s="47" t="str">
        <f t="shared" ref="CR22:CU22" si="151">(M22-BY22)/M22</f>
        <v>#REF!</v>
      </c>
      <c r="CS22" s="47" t="str">
        <f t="shared" si="151"/>
        <v>#REF!</v>
      </c>
      <c r="CT22" s="47" t="str">
        <f t="shared" si="151"/>
        <v>#REF!</v>
      </c>
      <c r="CU22" s="47" t="str">
        <f t="shared" si="151"/>
        <v>#REF!</v>
      </c>
      <c r="CV22" s="48"/>
      <c r="CW22" s="47" t="str">
        <f t="shared" si="60"/>
        <v>#REF!</v>
      </c>
      <c r="CX22" s="47" t="str">
        <f t="shared" ref="CX22:CY22" si="152">(R22-CI22)/R22</f>
        <v>#REF!</v>
      </c>
      <c r="CY22" s="47" t="str">
        <f t="shared" si="152"/>
        <v>#REF!</v>
      </c>
      <c r="CZ22" s="47" t="str">
        <f t="shared" ref="CZ22:DA22" si="153">(T22-CD22)/T22</f>
        <v>#REF!</v>
      </c>
      <c r="DA22" s="47" t="str">
        <f t="shared" si="153"/>
        <v>#REF!</v>
      </c>
      <c r="DB22" s="48"/>
      <c r="DC22" s="47" t="str">
        <f t="shared" ref="DC22:DE22" si="154">MAX(0,CN22)*$DB22</f>
        <v>#REF!</v>
      </c>
      <c r="DD22" s="47" t="str">
        <f t="shared" si="154"/>
        <v>#REF!</v>
      </c>
      <c r="DE22" s="47" t="str">
        <f t="shared" si="154"/>
        <v>#REF!</v>
      </c>
      <c r="DF22" s="47" t="str">
        <f t="shared" ref="DF22:DI22" si="155">MAX(0,CR22)*$DB22</f>
        <v>#REF!</v>
      </c>
      <c r="DG22" s="47" t="str">
        <f t="shared" si="155"/>
        <v>#REF!</v>
      </c>
      <c r="DH22" s="47" t="str">
        <f t="shared" si="155"/>
        <v>#REF!</v>
      </c>
      <c r="DI22" s="47" t="str">
        <f t="shared" si="155"/>
        <v>#REF!</v>
      </c>
      <c r="DJ22" s="47" t="str">
        <f t="shared" ref="DJ22:DN22" si="156">MAX(0,CW22)*$DB22</f>
        <v>#REF!</v>
      </c>
      <c r="DK22" s="47" t="str">
        <f t="shared" si="156"/>
        <v>#REF!</v>
      </c>
      <c r="DL22" s="47" t="str">
        <f t="shared" si="156"/>
        <v>#REF!</v>
      </c>
      <c r="DM22" s="47" t="str">
        <f t="shared" si="156"/>
        <v>#REF!</v>
      </c>
      <c r="DN22" s="47" t="str">
        <f t="shared" si="156"/>
        <v>#REF!</v>
      </c>
      <c r="DO22" s="45"/>
      <c r="DP22" s="45"/>
      <c r="DQ22" s="45"/>
      <c r="DR22" s="45"/>
      <c r="DS22" s="45"/>
      <c r="DT22" s="45"/>
      <c r="DU22" s="45"/>
      <c r="DV22" s="66">
        <f t="shared" si="66"/>
        <v>0</v>
      </c>
      <c r="DW22" s="56"/>
      <c r="DX22" s="67"/>
    </row>
    <row r="23" ht="14.25" customHeight="1">
      <c r="A23" s="34" t="s">
        <v>33</v>
      </c>
      <c r="B23" s="68"/>
      <c r="C23" s="59"/>
      <c r="D23" s="59"/>
      <c r="E23" s="60"/>
      <c r="F23" s="61"/>
      <c r="G23" s="59"/>
      <c r="H23" s="45"/>
      <c r="I23" s="62"/>
      <c r="J23" s="43"/>
      <c r="K23" s="43"/>
      <c r="L23" s="43"/>
      <c r="M23" s="43"/>
      <c r="N23" s="43"/>
      <c r="O23" s="43"/>
      <c r="P23" s="63"/>
      <c r="Q23" s="63"/>
      <c r="R23" s="43"/>
      <c r="S23" s="43"/>
      <c r="T23" s="43"/>
      <c r="U23" s="43"/>
      <c r="V23" s="43">
        <f t="shared" si="10"/>
        <v>0</v>
      </c>
      <c r="W23" s="45" t="str">
        <f t="shared" si="11"/>
        <v>#DIV/0!</v>
      </c>
      <c r="X23" s="45" t="str">
        <f t="shared" si="12"/>
        <v>#DIV/0!</v>
      </c>
      <c r="Y23" s="43">
        <f t="shared" si="13"/>
        <v>0</v>
      </c>
      <c r="Z23" s="43">
        <f t="shared" si="14"/>
        <v>0</v>
      </c>
      <c r="AA23" s="43">
        <f t="shared" si="15"/>
        <v>0</v>
      </c>
      <c r="AB23" s="43">
        <f t="shared" si="16"/>
        <v>0</v>
      </c>
      <c r="AC23" s="43">
        <f t="shared" si="17"/>
        <v>0</v>
      </c>
      <c r="AD23" s="43">
        <f t="shared" si="18"/>
        <v>0</v>
      </c>
      <c r="AE23" s="44"/>
      <c r="AF23" s="45" t="str">
        <f t="shared" si="19"/>
        <v>#DIV/0!</v>
      </c>
      <c r="AG23" s="45" t="str">
        <f t="shared" si="20"/>
        <v>#DIV/0!</v>
      </c>
      <c r="AH23" s="45" t="str">
        <f t="shared" si="21"/>
        <v>#DIV/0!</v>
      </c>
      <c r="AI23" s="45" t="str">
        <f t="shared" si="22"/>
        <v>#DIV/0!</v>
      </c>
      <c r="AJ23" s="45" t="str">
        <f t="shared" si="23"/>
        <v>#DIV/0!</v>
      </c>
      <c r="AK23" s="44"/>
      <c r="AL23" s="45" t="str">
        <f t="shared" si="24"/>
        <v>#DIV/0!</v>
      </c>
      <c r="AM23" s="70" t="str">
        <f t="shared" si="25"/>
        <v>#DIV/0!</v>
      </c>
      <c r="AN23" s="47" t="str">
        <f t="shared" si="26"/>
        <v>#NUM!</v>
      </c>
      <c r="AO23" s="47" t="str">
        <f t="shared" si="27"/>
        <v>#NUM!</v>
      </c>
      <c r="AP23" s="48">
        <f t="shared" si="28"/>
        <v>0.465</v>
      </c>
      <c r="AQ23" s="47" t="str">
        <f t="shared" si="29"/>
        <v>#DIV/0!</v>
      </c>
      <c r="AR23" s="47" t="str">
        <f t="shared" si="30"/>
        <v>#DIV/0!</v>
      </c>
      <c r="AS23" s="48"/>
      <c r="AT23" s="47" t="str">
        <f t="shared" si="31"/>
        <v>#DIV/0!</v>
      </c>
      <c r="AU23" s="71" t="str">
        <f t="shared" si="32"/>
        <v/>
      </c>
      <c r="AV23" s="47">
        <f t="shared" si="33"/>
        <v>-15</v>
      </c>
      <c r="AW23" s="48" t="str">
        <f t="shared" si="34"/>
        <v/>
      </c>
      <c r="AX23" s="47" t="str">
        <f t="shared" si="35"/>
        <v>#DIV/0!</v>
      </c>
      <c r="AY23" s="47">
        <f t="shared" si="36"/>
        <v>0.4375</v>
      </c>
      <c r="AZ23" s="47">
        <f t="shared" si="37"/>
        <v>0.6956521739</v>
      </c>
      <c r="BA23" s="52"/>
      <c r="BB23" s="48"/>
      <c r="BC23" s="48"/>
      <c r="BD23" s="47" t="str">
        <f t="shared" si="38"/>
        <v>#DIV/0!</v>
      </c>
      <c r="BE23" s="47" t="str">
        <f t="shared" si="39"/>
        <v>#DIV/0!</v>
      </c>
      <c r="BF23" s="48" t="str">
        <f t="shared" ref="BF23:BK23" si="157">L23</f>
        <v/>
      </c>
      <c r="BG23" s="48" t="str">
        <f t="shared" si="157"/>
        <v/>
      </c>
      <c r="BH23" s="48" t="str">
        <f t="shared" si="157"/>
        <v/>
      </c>
      <c r="BI23" s="48" t="str">
        <f t="shared" si="157"/>
        <v/>
      </c>
      <c r="BJ23" s="48" t="str">
        <f t="shared" si="157"/>
        <v/>
      </c>
      <c r="BK23" s="48" t="str">
        <f t="shared" si="157"/>
        <v/>
      </c>
      <c r="BL23" s="48" t="str">
        <f t="shared" si="41"/>
        <v/>
      </c>
      <c r="BM23" s="48">
        <f t="shared" si="42"/>
        <v>0</v>
      </c>
      <c r="BN23" s="48">
        <f t="shared" si="43"/>
        <v>0</v>
      </c>
      <c r="BO23" s="48">
        <f t="shared" si="44"/>
        <v>0</v>
      </c>
      <c r="BP23" s="47" t="str">
        <f t="shared" si="45"/>
        <v>#DIV/0!</v>
      </c>
      <c r="BQ23" s="54"/>
      <c r="BR23" s="54"/>
      <c r="BS23" s="54"/>
      <c r="BT23" s="47" t="str">
        <f t="shared" si="46"/>
        <v>#NUM!</v>
      </c>
      <c r="BU23" s="48"/>
      <c r="BV23" s="48">
        <f t="shared" si="47"/>
        <v>3</v>
      </c>
      <c r="BW23" s="48" t="str">
        <f t="shared" ref="BW23:CA23" si="158">MAX(($BU23*BW$58)+BW$59,2)</f>
        <v>#REF!</v>
      </c>
      <c r="BX23" s="48" t="str">
        <f t="shared" si="158"/>
        <v>#REF!</v>
      </c>
      <c r="BY23" s="48" t="str">
        <f t="shared" si="158"/>
        <v>#REF!</v>
      </c>
      <c r="BZ23" s="48" t="str">
        <f t="shared" si="158"/>
        <v>#REF!</v>
      </c>
      <c r="CA23" s="48" t="str">
        <f t="shared" si="158"/>
        <v>#REF!</v>
      </c>
      <c r="CB23" s="48" t="str">
        <f t="shared" si="49"/>
        <v>#REF!</v>
      </c>
      <c r="CC23" s="48" t="str">
        <f t="shared" ref="CC23:CH23" si="159">MAX(($BU23*CC$58)+CC$59,2)</f>
        <v>#REF!</v>
      </c>
      <c r="CD23" s="48" t="str">
        <f t="shared" si="159"/>
        <v>#REF!</v>
      </c>
      <c r="CE23" s="48" t="str">
        <f t="shared" si="159"/>
        <v>#REF!</v>
      </c>
      <c r="CF23" s="48" t="str">
        <f t="shared" si="159"/>
        <v>#REF!</v>
      </c>
      <c r="CG23" s="48" t="str">
        <f t="shared" si="159"/>
        <v>#REF!</v>
      </c>
      <c r="CH23" s="48" t="str">
        <f t="shared" si="159"/>
        <v>#REF!</v>
      </c>
      <c r="CI23" s="48" t="str">
        <f t="shared" si="51"/>
        <v>#REF!</v>
      </c>
      <c r="CJ23" s="48" t="str">
        <f t="shared" si="52"/>
        <v>#REF!</v>
      </c>
      <c r="CK23" s="48" t="str">
        <f t="shared" si="53"/>
        <v>#REF!</v>
      </c>
      <c r="CL23" s="48" t="str">
        <f t="shared" si="54"/>
        <v>#REF!</v>
      </c>
      <c r="CM23" s="47" t="str">
        <f t="shared" si="55"/>
        <v>#REF!</v>
      </c>
      <c r="CN23" s="47" t="str">
        <f t="shared" si="56"/>
        <v>#REF!</v>
      </c>
      <c r="CO23" s="47" t="str">
        <f t="shared" si="57"/>
        <v>#REF!</v>
      </c>
      <c r="CP23" s="47" t="str">
        <f t="shared" si="58"/>
        <v>#REF!</v>
      </c>
      <c r="CQ23" s="48"/>
      <c r="CR23" s="47" t="str">
        <f t="shared" ref="CR23:CU23" si="160">(M23-BY23)/M23</f>
        <v>#REF!</v>
      </c>
      <c r="CS23" s="47" t="str">
        <f t="shared" si="160"/>
        <v>#REF!</v>
      </c>
      <c r="CT23" s="47" t="str">
        <f t="shared" si="160"/>
        <v>#REF!</v>
      </c>
      <c r="CU23" s="47" t="str">
        <f t="shared" si="160"/>
        <v>#REF!</v>
      </c>
      <c r="CV23" s="48"/>
      <c r="CW23" s="47" t="str">
        <f t="shared" si="60"/>
        <v>#REF!</v>
      </c>
      <c r="CX23" s="47" t="str">
        <f t="shared" ref="CX23:CY23" si="161">(R23-CI23)/R23</f>
        <v>#REF!</v>
      </c>
      <c r="CY23" s="47" t="str">
        <f t="shared" si="161"/>
        <v>#REF!</v>
      </c>
      <c r="CZ23" s="47" t="str">
        <f t="shared" ref="CZ23:DA23" si="162">(T23-CD23)/T23</f>
        <v>#REF!</v>
      </c>
      <c r="DA23" s="47" t="str">
        <f t="shared" si="162"/>
        <v>#REF!</v>
      </c>
      <c r="DB23" s="48"/>
      <c r="DC23" s="47" t="str">
        <f t="shared" ref="DC23:DE23" si="163">MAX(0,CN23)*$DB23</f>
        <v>#REF!</v>
      </c>
      <c r="DD23" s="47" t="str">
        <f t="shared" si="163"/>
        <v>#REF!</v>
      </c>
      <c r="DE23" s="47" t="str">
        <f t="shared" si="163"/>
        <v>#REF!</v>
      </c>
      <c r="DF23" s="47" t="str">
        <f t="shared" ref="DF23:DI23" si="164">MAX(0,CR23)*$DB23</f>
        <v>#REF!</v>
      </c>
      <c r="DG23" s="47" t="str">
        <f t="shared" si="164"/>
        <v>#REF!</v>
      </c>
      <c r="DH23" s="47" t="str">
        <f t="shared" si="164"/>
        <v>#REF!</v>
      </c>
      <c r="DI23" s="47" t="str">
        <f t="shared" si="164"/>
        <v>#REF!</v>
      </c>
      <c r="DJ23" s="47" t="str">
        <f t="shared" ref="DJ23:DN23" si="165">MAX(0,CW23)*$DB23</f>
        <v>#REF!</v>
      </c>
      <c r="DK23" s="47" t="str">
        <f t="shared" si="165"/>
        <v>#REF!</v>
      </c>
      <c r="DL23" s="47" t="str">
        <f t="shared" si="165"/>
        <v>#REF!</v>
      </c>
      <c r="DM23" s="47" t="str">
        <f t="shared" si="165"/>
        <v>#REF!</v>
      </c>
      <c r="DN23" s="47" t="str">
        <f t="shared" si="165"/>
        <v>#REF!</v>
      </c>
      <c r="DO23" s="45"/>
      <c r="DP23" s="45"/>
      <c r="DQ23" s="45"/>
      <c r="DR23" s="45"/>
      <c r="DS23" s="45"/>
      <c r="DT23" s="45"/>
      <c r="DU23" s="45"/>
      <c r="DV23" s="55">
        <f t="shared" si="66"/>
        <v>0</v>
      </c>
      <c r="DW23" s="56"/>
      <c r="DX23" s="67"/>
    </row>
    <row r="24" ht="14.25" customHeight="1">
      <c r="A24" s="34" t="s">
        <v>33</v>
      </c>
      <c r="B24" s="68"/>
      <c r="C24" s="59"/>
      <c r="D24" s="59"/>
      <c r="E24" s="60"/>
      <c r="F24" s="61"/>
      <c r="G24" s="59"/>
      <c r="H24" s="59"/>
      <c r="I24" s="62"/>
      <c r="J24" s="43"/>
      <c r="K24" s="43"/>
      <c r="L24" s="43"/>
      <c r="M24" s="43"/>
      <c r="N24" s="43"/>
      <c r="O24" s="43"/>
      <c r="P24" s="63"/>
      <c r="Q24" s="63"/>
      <c r="R24" s="43"/>
      <c r="S24" s="43"/>
      <c r="T24" s="43"/>
      <c r="U24" s="43"/>
      <c r="V24" s="43">
        <f t="shared" si="10"/>
        <v>0</v>
      </c>
      <c r="W24" s="45" t="str">
        <f t="shared" si="11"/>
        <v>#DIV/0!</v>
      </c>
      <c r="X24" s="45" t="str">
        <f t="shared" si="12"/>
        <v>#DIV/0!</v>
      </c>
      <c r="Y24" s="43">
        <f t="shared" si="13"/>
        <v>0</v>
      </c>
      <c r="Z24" s="43">
        <f t="shared" si="14"/>
        <v>0</v>
      </c>
      <c r="AA24" s="43">
        <f t="shared" si="15"/>
        <v>0</v>
      </c>
      <c r="AB24" s="43">
        <f t="shared" si="16"/>
        <v>0</v>
      </c>
      <c r="AC24" s="43">
        <f t="shared" si="17"/>
        <v>0</v>
      </c>
      <c r="AD24" s="43">
        <f t="shared" si="18"/>
        <v>0</v>
      </c>
      <c r="AE24" s="44"/>
      <c r="AF24" s="45" t="str">
        <f t="shared" si="19"/>
        <v>#DIV/0!</v>
      </c>
      <c r="AG24" s="45" t="str">
        <f t="shared" si="20"/>
        <v>#DIV/0!</v>
      </c>
      <c r="AH24" s="45" t="str">
        <f t="shared" si="21"/>
        <v>#DIV/0!</v>
      </c>
      <c r="AI24" s="45" t="str">
        <f t="shared" si="22"/>
        <v>#DIV/0!</v>
      </c>
      <c r="AJ24" s="45" t="str">
        <f t="shared" si="23"/>
        <v>#DIV/0!</v>
      </c>
      <c r="AK24" s="44"/>
      <c r="AL24" s="45" t="str">
        <f t="shared" si="24"/>
        <v>#DIV/0!</v>
      </c>
      <c r="AM24" s="70" t="str">
        <f t="shared" si="25"/>
        <v>#DIV/0!</v>
      </c>
      <c r="AN24" s="47" t="str">
        <f t="shared" si="26"/>
        <v>#NUM!</v>
      </c>
      <c r="AO24" s="47" t="str">
        <f t="shared" si="27"/>
        <v>#NUM!</v>
      </c>
      <c r="AP24" s="48">
        <f t="shared" si="28"/>
        <v>0.465</v>
      </c>
      <c r="AQ24" s="47" t="str">
        <f t="shared" si="29"/>
        <v>#DIV/0!</v>
      </c>
      <c r="AR24" s="47" t="str">
        <f t="shared" si="30"/>
        <v>#DIV/0!</v>
      </c>
      <c r="AS24" s="48"/>
      <c r="AT24" s="47" t="str">
        <f t="shared" si="31"/>
        <v>#DIV/0!</v>
      </c>
      <c r="AU24" s="71" t="str">
        <f t="shared" si="32"/>
        <v/>
      </c>
      <c r="AV24" s="47">
        <f t="shared" si="33"/>
        <v>-15</v>
      </c>
      <c r="AW24" s="48" t="str">
        <f t="shared" si="34"/>
        <v/>
      </c>
      <c r="AX24" s="47" t="str">
        <f t="shared" si="35"/>
        <v>#DIV/0!</v>
      </c>
      <c r="AY24" s="47">
        <f t="shared" si="36"/>
        <v>0.4375</v>
      </c>
      <c r="AZ24" s="47">
        <f t="shared" si="37"/>
        <v>0.6956521739</v>
      </c>
      <c r="BA24" s="52"/>
      <c r="BB24" s="48"/>
      <c r="BC24" s="48"/>
      <c r="BD24" s="47" t="str">
        <f t="shared" si="38"/>
        <v>#DIV/0!</v>
      </c>
      <c r="BE24" s="47" t="str">
        <f t="shared" si="39"/>
        <v>#DIV/0!</v>
      </c>
      <c r="BF24" s="48" t="str">
        <f t="shared" ref="BF24:BK24" si="166">L24</f>
        <v/>
      </c>
      <c r="BG24" s="48" t="str">
        <f t="shared" si="166"/>
        <v/>
      </c>
      <c r="BH24" s="48" t="str">
        <f t="shared" si="166"/>
        <v/>
      </c>
      <c r="BI24" s="48" t="str">
        <f t="shared" si="166"/>
        <v/>
      </c>
      <c r="BJ24" s="48" t="str">
        <f t="shared" si="166"/>
        <v/>
      </c>
      <c r="BK24" s="48" t="str">
        <f t="shared" si="166"/>
        <v/>
      </c>
      <c r="BL24" s="48" t="str">
        <f t="shared" si="41"/>
        <v/>
      </c>
      <c r="BM24" s="48">
        <f t="shared" si="42"/>
        <v>0</v>
      </c>
      <c r="BN24" s="48">
        <f t="shared" si="43"/>
        <v>0</v>
      </c>
      <c r="BO24" s="48">
        <f t="shared" si="44"/>
        <v>0</v>
      </c>
      <c r="BP24" s="47" t="str">
        <f t="shared" si="45"/>
        <v>#DIV/0!</v>
      </c>
      <c r="BQ24" s="54"/>
      <c r="BR24" s="54"/>
      <c r="BS24" s="54"/>
      <c r="BT24" s="47" t="str">
        <f t="shared" si="46"/>
        <v>#NUM!</v>
      </c>
      <c r="BU24" s="48"/>
      <c r="BV24" s="48">
        <f t="shared" si="47"/>
        <v>3</v>
      </c>
      <c r="BW24" s="48" t="str">
        <f t="shared" ref="BW24:CA24" si="167">MAX(($BU24*BW$58)+BW$59,2)</f>
        <v>#REF!</v>
      </c>
      <c r="BX24" s="48" t="str">
        <f t="shared" si="167"/>
        <v>#REF!</v>
      </c>
      <c r="BY24" s="48" t="str">
        <f t="shared" si="167"/>
        <v>#REF!</v>
      </c>
      <c r="BZ24" s="48" t="str">
        <f t="shared" si="167"/>
        <v>#REF!</v>
      </c>
      <c r="CA24" s="48" t="str">
        <f t="shared" si="167"/>
        <v>#REF!</v>
      </c>
      <c r="CB24" s="48" t="str">
        <f t="shared" si="49"/>
        <v>#REF!</v>
      </c>
      <c r="CC24" s="48" t="str">
        <f t="shared" ref="CC24:CH24" si="168">MAX(($BU24*CC$58)+CC$59,2)</f>
        <v>#REF!</v>
      </c>
      <c r="CD24" s="48" t="str">
        <f t="shared" si="168"/>
        <v>#REF!</v>
      </c>
      <c r="CE24" s="48" t="str">
        <f t="shared" si="168"/>
        <v>#REF!</v>
      </c>
      <c r="CF24" s="48" t="str">
        <f t="shared" si="168"/>
        <v>#REF!</v>
      </c>
      <c r="CG24" s="48" t="str">
        <f t="shared" si="168"/>
        <v>#REF!</v>
      </c>
      <c r="CH24" s="48" t="str">
        <f t="shared" si="168"/>
        <v>#REF!</v>
      </c>
      <c r="CI24" s="48" t="str">
        <f t="shared" si="51"/>
        <v>#REF!</v>
      </c>
      <c r="CJ24" s="48" t="str">
        <f t="shared" si="52"/>
        <v>#REF!</v>
      </c>
      <c r="CK24" s="48" t="str">
        <f t="shared" si="53"/>
        <v>#REF!</v>
      </c>
      <c r="CL24" s="48" t="str">
        <f t="shared" si="54"/>
        <v>#REF!</v>
      </c>
      <c r="CM24" s="47" t="str">
        <f t="shared" si="55"/>
        <v>#REF!</v>
      </c>
      <c r="CN24" s="47" t="str">
        <f t="shared" si="56"/>
        <v>#REF!</v>
      </c>
      <c r="CO24" s="47" t="str">
        <f t="shared" si="57"/>
        <v>#REF!</v>
      </c>
      <c r="CP24" s="47" t="str">
        <f t="shared" si="58"/>
        <v>#REF!</v>
      </c>
      <c r="CQ24" s="48"/>
      <c r="CR24" s="47" t="str">
        <f t="shared" ref="CR24:CU24" si="169">(M24-BY24)/M24</f>
        <v>#REF!</v>
      </c>
      <c r="CS24" s="47" t="str">
        <f t="shared" si="169"/>
        <v>#REF!</v>
      </c>
      <c r="CT24" s="47" t="str">
        <f t="shared" si="169"/>
        <v>#REF!</v>
      </c>
      <c r="CU24" s="47" t="str">
        <f t="shared" si="169"/>
        <v>#REF!</v>
      </c>
      <c r="CV24" s="48"/>
      <c r="CW24" s="47" t="str">
        <f t="shared" si="60"/>
        <v>#REF!</v>
      </c>
      <c r="CX24" s="47" t="str">
        <f t="shared" ref="CX24:CY24" si="170">(R24-CI24)/R24</f>
        <v>#REF!</v>
      </c>
      <c r="CY24" s="47" t="str">
        <f t="shared" si="170"/>
        <v>#REF!</v>
      </c>
      <c r="CZ24" s="47" t="str">
        <f t="shared" ref="CZ24:DA24" si="171">(T24-CD24)/T24</f>
        <v>#REF!</v>
      </c>
      <c r="DA24" s="47" t="str">
        <f t="shared" si="171"/>
        <v>#REF!</v>
      </c>
      <c r="DB24" s="48"/>
      <c r="DC24" s="47" t="str">
        <f t="shared" ref="DC24:DE24" si="172">MAX(0,CN24)*$DB24</f>
        <v>#REF!</v>
      </c>
      <c r="DD24" s="47" t="str">
        <f t="shared" si="172"/>
        <v>#REF!</v>
      </c>
      <c r="DE24" s="47" t="str">
        <f t="shared" si="172"/>
        <v>#REF!</v>
      </c>
      <c r="DF24" s="47" t="str">
        <f t="shared" ref="DF24:DI24" si="173">MAX(0,CR24)*$DB24</f>
        <v>#REF!</v>
      </c>
      <c r="DG24" s="47" t="str">
        <f t="shared" si="173"/>
        <v>#REF!</v>
      </c>
      <c r="DH24" s="47" t="str">
        <f t="shared" si="173"/>
        <v>#REF!</v>
      </c>
      <c r="DI24" s="47" t="str">
        <f t="shared" si="173"/>
        <v>#REF!</v>
      </c>
      <c r="DJ24" s="47" t="str">
        <f t="shared" ref="DJ24:DN24" si="174">MAX(0,CW24)*$DB24</f>
        <v>#REF!</v>
      </c>
      <c r="DK24" s="47" t="str">
        <f t="shared" si="174"/>
        <v>#REF!</v>
      </c>
      <c r="DL24" s="47" t="str">
        <f t="shared" si="174"/>
        <v>#REF!</v>
      </c>
      <c r="DM24" s="47" t="str">
        <f t="shared" si="174"/>
        <v>#REF!</v>
      </c>
      <c r="DN24" s="47" t="str">
        <f t="shared" si="174"/>
        <v>#REF!</v>
      </c>
      <c r="DO24" s="45"/>
      <c r="DP24" s="45"/>
      <c r="DQ24" s="45"/>
      <c r="DR24" s="45"/>
      <c r="DS24" s="45"/>
      <c r="DT24" s="45"/>
      <c r="DU24" s="45"/>
      <c r="DV24" s="66">
        <f t="shared" si="66"/>
        <v>0</v>
      </c>
      <c r="DW24" s="56"/>
      <c r="DX24" s="67"/>
    </row>
    <row r="25" ht="14.25" customHeight="1">
      <c r="A25" s="34" t="s">
        <v>33</v>
      </c>
      <c r="B25" s="68"/>
      <c r="C25" s="59"/>
      <c r="D25" s="59"/>
      <c r="E25" s="60"/>
      <c r="F25" s="61"/>
      <c r="G25" s="59"/>
      <c r="H25" s="59"/>
      <c r="I25" s="62"/>
      <c r="J25" s="43"/>
      <c r="K25" s="43"/>
      <c r="L25" s="43"/>
      <c r="M25" s="43"/>
      <c r="N25" s="43"/>
      <c r="O25" s="43"/>
      <c r="P25" s="63"/>
      <c r="Q25" s="63"/>
      <c r="R25" s="43"/>
      <c r="S25" s="43"/>
      <c r="T25" s="43"/>
      <c r="U25" s="43"/>
      <c r="V25" s="43">
        <f t="shared" si="10"/>
        <v>0</v>
      </c>
      <c r="W25" s="45" t="str">
        <f t="shared" si="11"/>
        <v>#DIV/0!</v>
      </c>
      <c r="X25" s="45" t="str">
        <f t="shared" si="12"/>
        <v>#DIV/0!</v>
      </c>
      <c r="Y25" s="43">
        <f t="shared" si="13"/>
        <v>0</v>
      </c>
      <c r="Z25" s="43">
        <f t="shared" si="14"/>
        <v>0</v>
      </c>
      <c r="AA25" s="43">
        <f t="shared" si="15"/>
        <v>0</v>
      </c>
      <c r="AB25" s="43">
        <f t="shared" si="16"/>
        <v>0</v>
      </c>
      <c r="AC25" s="43">
        <f t="shared" si="17"/>
        <v>0</v>
      </c>
      <c r="AD25" s="43">
        <f t="shared" si="18"/>
        <v>0</v>
      </c>
      <c r="AE25" s="44"/>
      <c r="AF25" s="45" t="str">
        <f t="shared" si="19"/>
        <v>#DIV/0!</v>
      </c>
      <c r="AG25" s="45" t="str">
        <f t="shared" si="20"/>
        <v>#DIV/0!</v>
      </c>
      <c r="AH25" s="45" t="str">
        <f t="shared" si="21"/>
        <v>#DIV/0!</v>
      </c>
      <c r="AI25" s="45" t="str">
        <f t="shared" si="22"/>
        <v>#DIV/0!</v>
      </c>
      <c r="AJ25" s="45" t="str">
        <f t="shared" si="23"/>
        <v>#DIV/0!</v>
      </c>
      <c r="AK25" s="44"/>
      <c r="AL25" s="45" t="str">
        <f t="shared" si="24"/>
        <v>#DIV/0!</v>
      </c>
      <c r="AM25" s="70" t="str">
        <f t="shared" si="25"/>
        <v>#DIV/0!</v>
      </c>
      <c r="AN25" s="47" t="str">
        <f t="shared" si="26"/>
        <v>#NUM!</v>
      </c>
      <c r="AO25" s="47" t="str">
        <f t="shared" si="27"/>
        <v>#NUM!</v>
      </c>
      <c r="AP25" s="48">
        <f t="shared" si="28"/>
        <v>0.465</v>
      </c>
      <c r="AQ25" s="47" t="str">
        <f t="shared" si="29"/>
        <v>#DIV/0!</v>
      </c>
      <c r="AR25" s="47" t="str">
        <f t="shared" si="30"/>
        <v>#DIV/0!</v>
      </c>
      <c r="AS25" s="48"/>
      <c r="AT25" s="47" t="str">
        <f t="shared" si="31"/>
        <v>#DIV/0!</v>
      </c>
      <c r="AU25" s="71" t="str">
        <f t="shared" si="32"/>
        <v/>
      </c>
      <c r="AV25" s="47">
        <f t="shared" si="33"/>
        <v>-15</v>
      </c>
      <c r="AW25" s="48" t="str">
        <f t="shared" si="34"/>
        <v/>
      </c>
      <c r="AX25" s="47" t="str">
        <f t="shared" si="35"/>
        <v>#DIV/0!</v>
      </c>
      <c r="AY25" s="47">
        <f t="shared" si="36"/>
        <v>0.4375</v>
      </c>
      <c r="AZ25" s="47">
        <f t="shared" si="37"/>
        <v>0.6956521739</v>
      </c>
      <c r="BA25" s="52"/>
      <c r="BB25" s="48"/>
      <c r="BC25" s="48"/>
      <c r="BD25" s="47" t="str">
        <f t="shared" si="38"/>
        <v>#DIV/0!</v>
      </c>
      <c r="BE25" s="47" t="str">
        <f t="shared" si="39"/>
        <v>#DIV/0!</v>
      </c>
      <c r="BF25" s="48" t="str">
        <f t="shared" ref="BF25:BK25" si="175">L25</f>
        <v/>
      </c>
      <c r="BG25" s="48" t="str">
        <f t="shared" si="175"/>
        <v/>
      </c>
      <c r="BH25" s="48" t="str">
        <f t="shared" si="175"/>
        <v/>
      </c>
      <c r="BI25" s="48" t="str">
        <f t="shared" si="175"/>
        <v/>
      </c>
      <c r="BJ25" s="48" t="str">
        <f t="shared" si="175"/>
        <v/>
      </c>
      <c r="BK25" s="48" t="str">
        <f t="shared" si="175"/>
        <v/>
      </c>
      <c r="BL25" s="48" t="str">
        <f t="shared" si="41"/>
        <v/>
      </c>
      <c r="BM25" s="48">
        <f t="shared" si="42"/>
        <v>0</v>
      </c>
      <c r="BN25" s="48">
        <f t="shared" si="43"/>
        <v>0</v>
      </c>
      <c r="BO25" s="48">
        <f t="shared" si="44"/>
        <v>0</v>
      </c>
      <c r="BP25" s="47" t="str">
        <f t="shared" si="45"/>
        <v>#DIV/0!</v>
      </c>
      <c r="BQ25" s="54"/>
      <c r="BR25" s="54"/>
      <c r="BS25" s="54"/>
      <c r="BT25" s="47" t="str">
        <f t="shared" si="46"/>
        <v>#NUM!</v>
      </c>
      <c r="BU25" s="48"/>
      <c r="BV25" s="48">
        <f t="shared" si="47"/>
        <v>3</v>
      </c>
      <c r="BW25" s="48" t="str">
        <f t="shared" ref="BW25:CA25" si="176">MAX(($BU25*BW$58)+BW$59,2)</f>
        <v>#REF!</v>
      </c>
      <c r="BX25" s="48" t="str">
        <f t="shared" si="176"/>
        <v>#REF!</v>
      </c>
      <c r="BY25" s="48" t="str">
        <f t="shared" si="176"/>
        <v>#REF!</v>
      </c>
      <c r="BZ25" s="48" t="str">
        <f t="shared" si="176"/>
        <v>#REF!</v>
      </c>
      <c r="CA25" s="48" t="str">
        <f t="shared" si="176"/>
        <v>#REF!</v>
      </c>
      <c r="CB25" s="48" t="str">
        <f t="shared" si="49"/>
        <v>#REF!</v>
      </c>
      <c r="CC25" s="48" t="str">
        <f t="shared" ref="CC25:CH25" si="177">MAX(($BU25*CC$58)+CC$59,2)</f>
        <v>#REF!</v>
      </c>
      <c r="CD25" s="48" t="str">
        <f t="shared" si="177"/>
        <v>#REF!</v>
      </c>
      <c r="CE25" s="48" t="str">
        <f t="shared" si="177"/>
        <v>#REF!</v>
      </c>
      <c r="CF25" s="48" t="str">
        <f t="shared" si="177"/>
        <v>#REF!</v>
      </c>
      <c r="CG25" s="48" t="str">
        <f t="shared" si="177"/>
        <v>#REF!</v>
      </c>
      <c r="CH25" s="48" t="str">
        <f t="shared" si="177"/>
        <v>#REF!</v>
      </c>
      <c r="CI25" s="48" t="str">
        <f t="shared" si="51"/>
        <v>#REF!</v>
      </c>
      <c r="CJ25" s="48" t="str">
        <f t="shared" si="52"/>
        <v>#REF!</v>
      </c>
      <c r="CK25" s="48" t="str">
        <f t="shared" si="53"/>
        <v>#REF!</v>
      </c>
      <c r="CL25" s="48" t="str">
        <f t="shared" si="54"/>
        <v>#REF!</v>
      </c>
      <c r="CM25" s="47" t="str">
        <f t="shared" si="55"/>
        <v>#REF!</v>
      </c>
      <c r="CN25" s="47" t="str">
        <f t="shared" si="56"/>
        <v>#REF!</v>
      </c>
      <c r="CO25" s="47" t="str">
        <f t="shared" si="57"/>
        <v>#REF!</v>
      </c>
      <c r="CP25" s="47" t="str">
        <f t="shared" si="58"/>
        <v>#REF!</v>
      </c>
      <c r="CQ25" s="48"/>
      <c r="CR25" s="47" t="str">
        <f t="shared" ref="CR25:CU25" si="178">(M25-BY25)/M25</f>
        <v>#REF!</v>
      </c>
      <c r="CS25" s="47" t="str">
        <f t="shared" si="178"/>
        <v>#REF!</v>
      </c>
      <c r="CT25" s="47" t="str">
        <f t="shared" si="178"/>
        <v>#REF!</v>
      </c>
      <c r="CU25" s="47" t="str">
        <f t="shared" si="178"/>
        <v>#REF!</v>
      </c>
      <c r="CV25" s="48"/>
      <c r="CW25" s="47" t="str">
        <f t="shared" si="60"/>
        <v>#REF!</v>
      </c>
      <c r="CX25" s="47" t="str">
        <f t="shared" ref="CX25:CY25" si="179">(R25-CI25)/R25</f>
        <v>#REF!</v>
      </c>
      <c r="CY25" s="47" t="str">
        <f t="shared" si="179"/>
        <v>#REF!</v>
      </c>
      <c r="CZ25" s="47" t="str">
        <f t="shared" ref="CZ25:DA25" si="180">(T25-CD25)/T25</f>
        <v>#REF!</v>
      </c>
      <c r="DA25" s="47" t="str">
        <f t="shared" si="180"/>
        <v>#REF!</v>
      </c>
      <c r="DB25" s="48"/>
      <c r="DC25" s="47" t="str">
        <f t="shared" ref="DC25:DE25" si="181">MAX(0,CN25)*$DB25</f>
        <v>#REF!</v>
      </c>
      <c r="DD25" s="47" t="str">
        <f t="shared" si="181"/>
        <v>#REF!</v>
      </c>
      <c r="DE25" s="47" t="str">
        <f t="shared" si="181"/>
        <v>#REF!</v>
      </c>
      <c r="DF25" s="47" t="str">
        <f t="shared" ref="DF25:DI25" si="182">MAX(0,CR25)*$DB25</f>
        <v>#REF!</v>
      </c>
      <c r="DG25" s="47" t="str">
        <f t="shared" si="182"/>
        <v>#REF!</v>
      </c>
      <c r="DH25" s="47" t="str">
        <f t="shared" si="182"/>
        <v>#REF!</v>
      </c>
      <c r="DI25" s="47" t="str">
        <f t="shared" si="182"/>
        <v>#REF!</v>
      </c>
      <c r="DJ25" s="47" t="str">
        <f t="shared" ref="DJ25:DN25" si="183">MAX(0,CW25)*$DB25</f>
        <v>#REF!</v>
      </c>
      <c r="DK25" s="47" t="str">
        <f t="shared" si="183"/>
        <v>#REF!</v>
      </c>
      <c r="DL25" s="47" t="str">
        <f t="shared" si="183"/>
        <v>#REF!</v>
      </c>
      <c r="DM25" s="47" t="str">
        <f t="shared" si="183"/>
        <v>#REF!</v>
      </c>
      <c r="DN25" s="47" t="str">
        <f t="shared" si="183"/>
        <v>#REF!</v>
      </c>
      <c r="DO25" s="45"/>
      <c r="DP25" s="45"/>
      <c r="DQ25" s="45"/>
      <c r="DR25" s="45"/>
      <c r="DS25" s="45"/>
      <c r="DT25" s="45"/>
      <c r="DU25" s="45"/>
      <c r="DV25" s="55">
        <f t="shared" si="66"/>
        <v>0</v>
      </c>
      <c r="DW25" s="56"/>
      <c r="DX25" s="67"/>
    </row>
    <row r="26" ht="14.25" customHeight="1">
      <c r="A26" s="34" t="s">
        <v>33</v>
      </c>
      <c r="B26" s="68"/>
      <c r="C26" s="59"/>
      <c r="D26" s="59"/>
      <c r="E26" s="60"/>
      <c r="F26" s="61"/>
      <c r="G26" s="59"/>
      <c r="H26" s="59"/>
      <c r="I26" s="62"/>
      <c r="J26" s="43"/>
      <c r="K26" s="43"/>
      <c r="L26" s="43"/>
      <c r="M26" s="43"/>
      <c r="N26" s="43"/>
      <c r="O26" s="43"/>
      <c r="P26" s="63"/>
      <c r="Q26" s="63"/>
      <c r="R26" s="43"/>
      <c r="S26" s="43"/>
      <c r="T26" s="43"/>
      <c r="U26" s="43"/>
      <c r="V26" s="43">
        <f t="shared" si="10"/>
        <v>0</v>
      </c>
      <c r="W26" s="45" t="str">
        <f t="shared" si="11"/>
        <v>#DIV/0!</v>
      </c>
      <c r="X26" s="45" t="str">
        <f t="shared" si="12"/>
        <v>#DIV/0!</v>
      </c>
      <c r="Y26" s="43">
        <f t="shared" si="13"/>
        <v>0</v>
      </c>
      <c r="Z26" s="43">
        <f t="shared" si="14"/>
        <v>0</v>
      </c>
      <c r="AA26" s="43">
        <f t="shared" si="15"/>
        <v>0</v>
      </c>
      <c r="AB26" s="43">
        <f t="shared" si="16"/>
        <v>0</v>
      </c>
      <c r="AC26" s="43">
        <f t="shared" si="17"/>
        <v>0</v>
      </c>
      <c r="AD26" s="43">
        <f t="shared" si="18"/>
        <v>0</v>
      </c>
      <c r="AE26" s="44"/>
      <c r="AF26" s="45" t="str">
        <f t="shared" si="19"/>
        <v>#DIV/0!</v>
      </c>
      <c r="AG26" s="45" t="str">
        <f t="shared" si="20"/>
        <v>#DIV/0!</v>
      </c>
      <c r="AH26" s="45" t="str">
        <f t="shared" si="21"/>
        <v>#DIV/0!</v>
      </c>
      <c r="AI26" s="45" t="str">
        <f t="shared" si="22"/>
        <v>#DIV/0!</v>
      </c>
      <c r="AJ26" s="45" t="str">
        <f t="shared" si="23"/>
        <v>#DIV/0!</v>
      </c>
      <c r="AK26" s="44"/>
      <c r="AL26" s="45" t="str">
        <f t="shared" si="24"/>
        <v>#DIV/0!</v>
      </c>
      <c r="AM26" s="70" t="str">
        <f t="shared" si="25"/>
        <v>#DIV/0!</v>
      </c>
      <c r="AN26" s="47" t="str">
        <f t="shared" si="26"/>
        <v>#NUM!</v>
      </c>
      <c r="AO26" s="47" t="str">
        <f t="shared" si="27"/>
        <v>#NUM!</v>
      </c>
      <c r="AP26" s="48">
        <f t="shared" si="28"/>
        <v>0.465</v>
      </c>
      <c r="AQ26" s="47" t="str">
        <f t="shared" si="29"/>
        <v>#DIV/0!</v>
      </c>
      <c r="AR26" s="47" t="str">
        <f t="shared" si="30"/>
        <v>#DIV/0!</v>
      </c>
      <c r="AS26" s="48"/>
      <c r="AT26" s="47" t="str">
        <f t="shared" si="31"/>
        <v>#DIV/0!</v>
      </c>
      <c r="AU26" s="71" t="str">
        <f t="shared" si="32"/>
        <v/>
      </c>
      <c r="AV26" s="47">
        <f t="shared" si="33"/>
        <v>-15</v>
      </c>
      <c r="AW26" s="48" t="str">
        <f t="shared" si="34"/>
        <v/>
      </c>
      <c r="AX26" s="47" t="str">
        <f t="shared" si="35"/>
        <v>#DIV/0!</v>
      </c>
      <c r="AY26" s="47">
        <f t="shared" si="36"/>
        <v>0.4375</v>
      </c>
      <c r="AZ26" s="47">
        <f t="shared" si="37"/>
        <v>0.6956521739</v>
      </c>
      <c r="BA26" s="52"/>
      <c r="BB26" s="48"/>
      <c r="BC26" s="48"/>
      <c r="BD26" s="47" t="str">
        <f t="shared" si="38"/>
        <v>#DIV/0!</v>
      </c>
      <c r="BE26" s="47" t="str">
        <f t="shared" si="39"/>
        <v>#DIV/0!</v>
      </c>
      <c r="BF26" s="48" t="str">
        <f t="shared" ref="BF26:BK26" si="184">L26</f>
        <v/>
      </c>
      <c r="BG26" s="48" t="str">
        <f t="shared" si="184"/>
        <v/>
      </c>
      <c r="BH26" s="48" t="str">
        <f t="shared" si="184"/>
        <v/>
      </c>
      <c r="BI26" s="48" t="str">
        <f t="shared" si="184"/>
        <v/>
      </c>
      <c r="BJ26" s="48" t="str">
        <f t="shared" si="184"/>
        <v/>
      </c>
      <c r="BK26" s="48" t="str">
        <f t="shared" si="184"/>
        <v/>
      </c>
      <c r="BL26" s="48" t="str">
        <f t="shared" si="41"/>
        <v/>
      </c>
      <c r="BM26" s="48">
        <f t="shared" si="42"/>
        <v>0</v>
      </c>
      <c r="BN26" s="48">
        <f t="shared" si="43"/>
        <v>0</v>
      </c>
      <c r="BO26" s="48">
        <f t="shared" si="44"/>
        <v>0</v>
      </c>
      <c r="BP26" s="47" t="str">
        <f t="shared" si="45"/>
        <v>#DIV/0!</v>
      </c>
      <c r="BQ26" s="54"/>
      <c r="BR26" s="54"/>
      <c r="BS26" s="54"/>
      <c r="BT26" s="47" t="str">
        <f t="shared" si="46"/>
        <v>#NUM!</v>
      </c>
      <c r="BU26" s="48"/>
      <c r="BV26" s="48">
        <f t="shared" si="47"/>
        <v>3</v>
      </c>
      <c r="BW26" s="48" t="str">
        <f t="shared" ref="BW26:CA26" si="185">MAX(($BU26*BW$58)+BW$59,2)</f>
        <v>#REF!</v>
      </c>
      <c r="BX26" s="48" t="str">
        <f t="shared" si="185"/>
        <v>#REF!</v>
      </c>
      <c r="BY26" s="48" t="str">
        <f t="shared" si="185"/>
        <v>#REF!</v>
      </c>
      <c r="BZ26" s="48" t="str">
        <f t="shared" si="185"/>
        <v>#REF!</v>
      </c>
      <c r="CA26" s="48" t="str">
        <f t="shared" si="185"/>
        <v>#REF!</v>
      </c>
      <c r="CB26" s="48" t="str">
        <f t="shared" si="49"/>
        <v>#REF!</v>
      </c>
      <c r="CC26" s="48" t="str">
        <f t="shared" ref="CC26:CH26" si="186">MAX(($BU26*CC$58)+CC$59,2)</f>
        <v>#REF!</v>
      </c>
      <c r="CD26" s="48" t="str">
        <f t="shared" si="186"/>
        <v>#REF!</v>
      </c>
      <c r="CE26" s="48" t="str">
        <f t="shared" si="186"/>
        <v>#REF!</v>
      </c>
      <c r="CF26" s="48" t="str">
        <f t="shared" si="186"/>
        <v>#REF!</v>
      </c>
      <c r="CG26" s="48" t="str">
        <f t="shared" si="186"/>
        <v>#REF!</v>
      </c>
      <c r="CH26" s="48" t="str">
        <f t="shared" si="186"/>
        <v>#REF!</v>
      </c>
      <c r="CI26" s="48" t="str">
        <f t="shared" si="51"/>
        <v>#REF!</v>
      </c>
      <c r="CJ26" s="48" t="str">
        <f t="shared" si="52"/>
        <v>#REF!</v>
      </c>
      <c r="CK26" s="48" t="str">
        <f t="shared" si="53"/>
        <v>#REF!</v>
      </c>
      <c r="CL26" s="48" t="str">
        <f t="shared" si="54"/>
        <v>#REF!</v>
      </c>
      <c r="CM26" s="47" t="str">
        <f t="shared" si="55"/>
        <v>#REF!</v>
      </c>
      <c r="CN26" s="47" t="str">
        <f t="shared" si="56"/>
        <v>#REF!</v>
      </c>
      <c r="CO26" s="47" t="str">
        <f t="shared" si="57"/>
        <v>#REF!</v>
      </c>
      <c r="CP26" s="47" t="str">
        <f t="shared" si="58"/>
        <v>#REF!</v>
      </c>
      <c r="CQ26" s="48"/>
      <c r="CR26" s="47" t="str">
        <f t="shared" ref="CR26:CU26" si="187">(M26-BY26)/M26</f>
        <v>#REF!</v>
      </c>
      <c r="CS26" s="47" t="str">
        <f t="shared" si="187"/>
        <v>#REF!</v>
      </c>
      <c r="CT26" s="47" t="str">
        <f t="shared" si="187"/>
        <v>#REF!</v>
      </c>
      <c r="CU26" s="47" t="str">
        <f t="shared" si="187"/>
        <v>#REF!</v>
      </c>
      <c r="CV26" s="48"/>
      <c r="CW26" s="47" t="str">
        <f t="shared" si="60"/>
        <v>#REF!</v>
      </c>
      <c r="CX26" s="47" t="str">
        <f t="shared" ref="CX26:CY26" si="188">(R26-CI26)/R26</f>
        <v>#REF!</v>
      </c>
      <c r="CY26" s="47" t="str">
        <f t="shared" si="188"/>
        <v>#REF!</v>
      </c>
      <c r="CZ26" s="47" t="str">
        <f t="shared" ref="CZ26:DA26" si="189">(T26-CD26)/T26</f>
        <v>#REF!</v>
      </c>
      <c r="DA26" s="47" t="str">
        <f t="shared" si="189"/>
        <v>#REF!</v>
      </c>
      <c r="DB26" s="48"/>
      <c r="DC26" s="47" t="str">
        <f t="shared" ref="DC26:DE26" si="190">MAX(0,CN26)*$DB26</f>
        <v>#REF!</v>
      </c>
      <c r="DD26" s="47" t="str">
        <f t="shared" si="190"/>
        <v>#REF!</v>
      </c>
      <c r="DE26" s="47" t="str">
        <f t="shared" si="190"/>
        <v>#REF!</v>
      </c>
      <c r="DF26" s="47" t="str">
        <f t="shared" ref="DF26:DI26" si="191">MAX(0,CR26)*$DB26</f>
        <v>#REF!</v>
      </c>
      <c r="DG26" s="47" t="str">
        <f t="shared" si="191"/>
        <v>#REF!</v>
      </c>
      <c r="DH26" s="47" t="str">
        <f t="shared" si="191"/>
        <v>#REF!</v>
      </c>
      <c r="DI26" s="47" t="str">
        <f t="shared" si="191"/>
        <v>#REF!</v>
      </c>
      <c r="DJ26" s="47" t="str">
        <f t="shared" ref="DJ26:DN26" si="192">MAX(0,CW26)*$DB26</f>
        <v>#REF!</v>
      </c>
      <c r="DK26" s="47" t="str">
        <f t="shared" si="192"/>
        <v>#REF!</v>
      </c>
      <c r="DL26" s="47" t="str">
        <f t="shared" si="192"/>
        <v>#REF!</v>
      </c>
      <c r="DM26" s="47" t="str">
        <f t="shared" si="192"/>
        <v>#REF!</v>
      </c>
      <c r="DN26" s="47" t="str">
        <f t="shared" si="192"/>
        <v>#REF!</v>
      </c>
      <c r="DO26" s="45"/>
      <c r="DP26" s="45"/>
      <c r="DQ26" s="45"/>
      <c r="DR26" s="45"/>
      <c r="DS26" s="45"/>
      <c r="DT26" s="45"/>
      <c r="DU26" s="45"/>
      <c r="DV26" s="66">
        <f t="shared" si="66"/>
        <v>0</v>
      </c>
      <c r="DW26" s="56"/>
      <c r="DX26" s="67"/>
    </row>
    <row r="27" ht="14.25" customHeight="1">
      <c r="A27" s="34" t="s">
        <v>33</v>
      </c>
      <c r="B27" s="68"/>
      <c r="C27" s="59"/>
      <c r="D27" s="59"/>
      <c r="E27" s="60"/>
      <c r="F27" s="61"/>
      <c r="G27" s="59"/>
      <c r="H27" s="59"/>
      <c r="I27" s="62"/>
      <c r="J27" s="43"/>
      <c r="K27" s="43"/>
      <c r="L27" s="43"/>
      <c r="M27" s="43"/>
      <c r="N27" s="43"/>
      <c r="O27" s="43"/>
      <c r="P27" s="63"/>
      <c r="Q27" s="63"/>
      <c r="R27" s="43"/>
      <c r="S27" s="43"/>
      <c r="T27" s="43"/>
      <c r="U27" s="43"/>
      <c r="V27" s="43">
        <f t="shared" si="10"/>
        <v>0</v>
      </c>
      <c r="W27" s="45" t="str">
        <f t="shared" si="11"/>
        <v>#DIV/0!</v>
      </c>
      <c r="X27" s="45" t="str">
        <f t="shared" si="12"/>
        <v>#DIV/0!</v>
      </c>
      <c r="Y27" s="43">
        <f t="shared" si="13"/>
        <v>0</v>
      </c>
      <c r="Z27" s="43">
        <f t="shared" si="14"/>
        <v>0</v>
      </c>
      <c r="AA27" s="43">
        <f t="shared" si="15"/>
        <v>0</v>
      </c>
      <c r="AB27" s="43">
        <f t="shared" si="16"/>
        <v>0</v>
      </c>
      <c r="AC27" s="43">
        <f t="shared" si="17"/>
        <v>0</v>
      </c>
      <c r="AD27" s="43">
        <f t="shared" si="18"/>
        <v>0</v>
      </c>
      <c r="AE27" s="44"/>
      <c r="AF27" s="45" t="str">
        <f t="shared" si="19"/>
        <v>#DIV/0!</v>
      </c>
      <c r="AG27" s="45" t="str">
        <f t="shared" si="20"/>
        <v>#DIV/0!</v>
      </c>
      <c r="AH27" s="45" t="str">
        <f t="shared" si="21"/>
        <v>#DIV/0!</v>
      </c>
      <c r="AI27" s="45" t="str">
        <f t="shared" si="22"/>
        <v>#DIV/0!</v>
      </c>
      <c r="AJ27" s="45" t="str">
        <f t="shared" si="23"/>
        <v>#DIV/0!</v>
      </c>
      <c r="AK27" s="44"/>
      <c r="AL27" s="45" t="str">
        <f t="shared" si="24"/>
        <v>#DIV/0!</v>
      </c>
      <c r="AM27" s="70" t="str">
        <f t="shared" si="25"/>
        <v>#DIV/0!</v>
      </c>
      <c r="AN27" s="47" t="str">
        <f t="shared" si="26"/>
        <v>#NUM!</v>
      </c>
      <c r="AO27" s="47" t="str">
        <f t="shared" si="27"/>
        <v>#NUM!</v>
      </c>
      <c r="AP27" s="48">
        <f t="shared" si="28"/>
        <v>0.465</v>
      </c>
      <c r="AQ27" s="47" t="str">
        <f t="shared" si="29"/>
        <v>#DIV/0!</v>
      </c>
      <c r="AR27" s="47" t="str">
        <f t="shared" si="30"/>
        <v>#DIV/0!</v>
      </c>
      <c r="AS27" s="48"/>
      <c r="AT27" s="47" t="str">
        <f t="shared" si="31"/>
        <v>#DIV/0!</v>
      </c>
      <c r="AU27" s="71" t="str">
        <f t="shared" si="32"/>
        <v/>
      </c>
      <c r="AV27" s="47">
        <f t="shared" si="33"/>
        <v>-15</v>
      </c>
      <c r="AW27" s="48" t="str">
        <f t="shared" si="34"/>
        <v/>
      </c>
      <c r="AX27" s="47" t="str">
        <f t="shared" si="35"/>
        <v>#DIV/0!</v>
      </c>
      <c r="AY27" s="47">
        <f t="shared" si="36"/>
        <v>0.4375</v>
      </c>
      <c r="AZ27" s="47">
        <f t="shared" si="37"/>
        <v>0.6956521739</v>
      </c>
      <c r="BA27" s="52"/>
      <c r="BB27" s="48"/>
      <c r="BC27" s="48"/>
      <c r="BD27" s="47" t="str">
        <f t="shared" si="38"/>
        <v>#DIV/0!</v>
      </c>
      <c r="BE27" s="47" t="str">
        <f t="shared" si="39"/>
        <v>#DIV/0!</v>
      </c>
      <c r="BF27" s="48" t="str">
        <f t="shared" ref="BF27:BK27" si="193">L27</f>
        <v/>
      </c>
      <c r="BG27" s="48" t="str">
        <f t="shared" si="193"/>
        <v/>
      </c>
      <c r="BH27" s="48" t="str">
        <f t="shared" si="193"/>
        <v/>
      </c>
      <c r="BI27" s="48" t="str">
        <f t="shared" si="193"/>
        <v/>
      </c>
      <c r="BJ27" s="48" t="str">
        <f t="shared" si="193"/>
        <v/>
      </c>
      <c r="BK27" s="48" t="str">
        <f t="shared" si="193"/>
        <v/>
      </c>
      <c r="BL27" s="48" t="str">
        <f t="shared" si="41"/>
        <v/>
      </c>
      <c r="BM27" s="48">
        <f t="shared" si="42"/>
        <v>0</v>
      </c>
      <c r="BN27" s="48">
        <f t="shared" si="43"/>
        <v>0</v>
      </c>
      <c r="BO27" s="48">
        <f t="shared" si="44"/>
        <v>0</v>
      </c>
      <c r="BP27" s="47" t="str">
        <f t="shared" si="45"/>
        <v>#DIV/0!</v>
      </c>
      <c r="BQ27" s="54"/>
      <c r="BR27" s="54"/>
      <c r="BS27" s="54"/>
      <c r="BT27" s="47" t="str">
        <f t="shared" si="46"/>
        <v>#NUM!</v>
      </c>
      <c r="BU27" s="48"/>
      <c r="BV27" s="48">
        <f t="shared" si="47"/>
        <v>3</v>
      </c>
      <c r="BW27" s="48" t="str">
        <f t="shared" ref="BW27:CA27" si="194">MAX(($BU27*BW$58)+BW$59,2)</f>
        <v>#REF!</v>
      </c>
      <c r="BX27" s="48" t="str">
        <f t="shared" si="194"/>
        <v>#REF!</v>
      </c>
      <c r="BY27" s="48" t="str">
        <f t="shared" si="194"/>
        <v>#REF!</v>
      </c>
      <c r="BZ27" s="48" t="str">
        <f t="shared" si="194"/>
        <v>#REF!</v>
      </c>
      <c r="CA27" s="48" t="str">
        <f t="shared" si="194"/>
        <v>#REF!</v>
      </c>
      <c r="CB27" s="48" t="str">
        <f t="shared" si="49"/>
        <v>#REF!</v>
      </c>
      <c r="CC27" s="48" t="str">
        <f t="shared" ref="CC27:CH27" si="195">MAX(($BU27*CC$58)+CC$59,2)</f>
        <v>#REF!</v>
      </c>
      <c r="CD27" s="48" t="str">
        <f t="shared" si="195"/>
        <v>#REF!</v>
      </c>
      <c r="CE27" s="48" t="str">
        <f t="shared" si="195"/>
        <v>#REF!</v>
      </c>
      <c r="CF27" s="48" t="str">
        <f t="shared" si="195"/>
        <v>#REF!</v>
      </c>
      <c r="CG27" s="48" t="str">
        <f t="shared" si="195"/>
        <v>#REF!</v>
      </c>
      <c r="CH27" s="48" t="str">
        <f t="shared" si="195"/>
        <v>#REF!</v>
      </c>
      <c r="CI27" s="48" t="str">
        <f t="shared" si="51"/>
        <v>#REF!</v>
      </c>
      <c r="CJ27" s="48" t="str">
        <f t="shared" si="52"/>
        <v>#REF!</v>
      </c>
      <c r="CK27" s="48" t="str">
        <f t="shared" si="53"/>
        <v>#REF!</v>
      </c>
      <c r="CL27" s="48" t="str">
        <f t="shared" si="54"/>
        <v>#REF!</v>
      </c>
      <c r="CM27" s="47" t="str">
        <f t="shared" si="55"/>
        <v>#REF!</v>
      </c>
      <c r="CN27" s="47" t="str">
        <f t="shared" si="56"/>
        <v>#REF!</v>
      </c>
      <c r="CO27" s="47" t="str">
        <f t="shared" si="57"/>
        <v>#REF!</v>
      </c>
      <c r="CP27" s="47" t="str">
        <f t="shared" si="58"/>
        <v>#REF!</v>
      </c>
      <c r="CQ27" s="48"/>
      <c r="CR27" s="47" t="str">
        <f t="shared" ref="CR27:CU27" si="196">(M27-BY27)/M27</f>
        <v>#REF!</v>
      </c>
      <c r="CS27" s="47" t="str">
        <f t="shared" si="196"/>
        <v>#REF!</v>
      </c>
      <c r="CT27" s="47" t="str">
        <f t="shared" si="196"/>
        <v>#REF!</v>
      </c>
      <c r="CU27" s="47" t="str">
        <f t="shared" si="196"/>
        <v>#REF!</v>
      </c>
      <c r="CV27" s="48"/>
      <c r="CW27" s="47" t="str">
        <f t="shared" si="60"/>
        <v>#REF!</v>
      </c>
      <c r="CX27" s="47" t="str">
        <f t="shared" ref="CX27:CY27" si="197">(R27-CI27)/R27</f>
        <v>#REF!</v>
      </c>
      <c r="CY27" s="47" t="str">
        <f t="shared" si="197"/>
        <v>#REF!</v>
      </c>
      <c r="CZ27" s="47" t="str">
        <f t="shared" ref="CZ27:DA27" si="198">(T27-CD27)/T27</f>
        <v>#REF!</v>
      </c>
      <c r="DA27" s="47" t="str">
        <f t="shared" si="198"/>
        <v>#REF!</v>
      </c>
      <c r="DB27" s="48"/>
      <c r="DC27" s="47" t="str">
        <f t="shared" ref="DC27:DE27" si="199">MAX(0,CN27)*$DB27</f>
        <v>#REF!</v>
      </c>
      <c r="DD27" s="47" t="str">
        <f t="shared" si="199"/>
        <v>#REF!</v>
      </c>
      <c r="DE27" s="47" t="str">
        <f t="shared" si="199"/>
        <v>#REF!</v>
      </c>
      <c r="DF27" s="47" t="str">
        <f t="shared" ref="DF27:DI27" si="200">MAX(0,CR27)*$DB27</f>
        <v>#REF!</v>
      </c>
      <c r="DG27" s="47" t="str">
        <f t="shared" si="200"/>
        <v>#REF!</v>
      </c>
      <c r="DH27" s="47" t="str">
        <f t="shared" si="200"/>
        <v>#REF!</v>
      </c>
      <c r="DI27" s="47" t="str">
        <f t="shared" si="200"/>
        <v>#REF!</v>
      </c>
      <c r="DJ27" s="47" t="str">
        <f t="shared" ref="DJ27:DN27" si="201">MAX(0,CW27)*$DB27</f>
        <v>#REF!</v>
      </c>
      <c r="DK27" s="47" t="str">
        <f t="shared" si="201"/>
        <v>#REF!</v>
      </c>
      <c r="DL27" s="47" t="str">
        <f t="shared" si="201"/>
        <v>#REF!</v>
      </c>
      <c r="DM27" s="47" t="str">
        <f t="shared" si="201"/>
        <v>#REF!</v>
      </c>
      <c r="DN27" s="47" t="str">
        <f t="shared" si="201"/>
        <v>#REF!</v>
      </c>
      <c r="DO27" s="45"/>
      <c r="DP27" s="45"/>
      <c r="DQ27" s="45"/>
      <c r="DR27" s="45"/>
      <c r="DS27" s="45"/>
      <c r="DT27" s="45"/>
      <c r="DU27" s="45"/>
      <c r="DV27" s="55">
        <f t="shared" si="66"/>
        <v>0</v>
      </c>
      <c r="DW27" s="56"/>
      <c r="DX27" s="67"/>
    </row>
    <row r="28" ht="18.75" customHeight="1">
      <c r="A28" s="34" t="s">
        <v>33</v>
      </c>
      <c r="B28" s="68"/>
      <c r="C28" s="59" t="str">
        <f t="shared" ref="C28:C60" si="211">$I$2</f>
        <v/>
      </c>
      <c r="D28" s="59" t="str">
        <f t="shared" ref="D28:D60" si="212">$I$3</f>
        <v/>
      </c>
      <c r="E28" s="60" t="str">
        <f t="shared" ref="E28:E60" si="213">$I$5</f>
        <v/>
      </c>
      <c r="F28" s="61">
        <f>MAX((B28-I5)/365,0)</f>
        <v>0</v>
      </c>
      <c r="G28" s="59" t="str">
        <f t="shared" ref="G28:G60" si="214">$I$6</f>
        <v/>
      </c>
      <c r="H28" s="59" t="str">
        <f t="shared" ref="H28:H60" si="215">$I$4</f>
        <v/>
      </c>
      <c r="I28" s="62"/>
      <c r="J28" s="43"/>
      <c r="K28" s="43"/>
      <c r="L28" s="43"/>
      <c r="M28" s="43"/>
      <c r="N28" s="43"/>
      <c r="O28" s="43"/>
      <c r="P28" s="63"/>
      <c r="Q28" s="63"/>
      <c r="R28" s="43"/>
      <c r="S28" s="43"/>
      <c r="T28" s="43"/>
      <c r="U28" s="43"/>
      <c r="V28" s="43">
        <f t="shared" si="10"/>
        <v>0</v>
      </c>
      <c r="W28" s="45" t="str">
        <f t="shared" si="11"/>
        <v>#DIV/0!</v>
      </c>
      <c r="X28" s="45" t="str">
        <f t="shared" si="12"/>
        <v>#DIV/0!</v>
      </c>
      <c r="Y28" s="43">
        <f t="shared" si="13"/>
        <v>0</v>
      </c>
      <c r="Z28" s="43">
        <f t="shared" si="14"/>
        <v>0</v>
      </c>
      <c r="AA28" s="43">
        <f t="shared" si="15"/>
        <v>0</v>
      </c>
      <c r="AB28" s="43">
        <f t="shared" si="16"/>
        <v>0</v>
      </c>
      <c r="AC28" s="43">
        <f t="shared" si="17"/>
        <v>0</v>
      </c>
      <c r="AD28" s="43">
        <f t="shared" si="18"/>
        <v>0</v>
      </c>
      <c r="AE28" s="44"/>
      <c r="AF28" s="45" t="str">
        <f t="shared" si="19"/>
        <v>#DIV/0!</v>
      </c>
      <c r="AG28" s="45" t="str">
        <f t="shared" si="20"/>
        <v>#DIV/0!</v>
      </c>
      <c r="AH28" s="45" t="str">
        <f t="shared" si="21"/>
        <v>#DIV/0!</v>
      </c>
      <c r="AI28" s="45" t="str">
        <f t="shared" si="22"/>
        <v>#DIV/0!</v>
      </c>
      <c r="AJ28" s="45" t="str">
        <f t="shared" si="23"/>
        <v>#DIV/0!</v>
      </c>
      <c r="AK28" s="44"/>
      <c r="AL28" s="45" t="str">
        <f t="shared" si="24"/>
        <v>#DIV/0!</v>
      </c>
      <c r="AM28" s="70" t="str">
        <f t="shared" si="25"/>
        <v>#DIV/0!</v>
      </c>
      <c r="AN28" s="47" t="str">
        <f t="shared" si="26"/>
        <v>#NUM!</v>
      </c>
      <c r="AO28" s="47" t="str">
        <f t="shared" si="27"/>
        <v>#NUM!</v>
      </c>
      <c r="AP28" s="48">
        <f t="shared" si="28"/>
        <v>0.465</v>
      </c>
      <c r="AQ28" s="47" t="str">
        <f t="shared" si="29"/>
        <v>#DIV/0!</v>
      </c>
      <c r="AR28" s="47" t="str">
        <f t="shared" si="30"/>
        <v>#DIV/0!</v>
      </c>
      <c r="AS28" s="48"/>
      <c r="AT28" s="47" t="str">
        <f t="shared" si="31"/>
        <v>#DIV/0!</v>
      </c>
      <c r="AU28" s="71" t="str">
        <f t="shared" si="32"/>
        <v/>
      </c>
      <c r="AV28" s="47">
        <f t="shared" si="33"/>
        <v>-15</v>
      </c>
      <c r="AW28" s="48" t="str">
        <f t="shared" si="34"/>
        <v/>
      </c>
      <c r="AX28" s="47" t="str">
        <f t="shared" si="35"/>
        <v>#DIV/0!</v>
      </c>
      <c r="AY28" s="47">
        <f t="shared" si="36"/>
        <v>0.4375</v>
      </c>
      <c r="AZ28" s="47">
        <f t="shared" si="37"/>
        <v>0.6956521739</v>
      </c>
      <c r="BA28" s="52"/>
      <c r="BB28" s="48"/>
      <c r="BC28" s="48"/>
      <c r="BD28" s="47" t="str">
        <f t="shared" si="38"/>
        <v>#DIV/0!</v>
      </c>
      <c r="BE28" s="47" t="str">
        <f t="shared" si="39"/>
        <v>#DIV/0!</v>
      </c>
      <c r="BF28" s="48" t="str">
        <f t="shared" ref="BF28:BK28" si="202">L28</f>
        <v/>
      </c>
      <c r="BG28" s="48" t="str">
        <f t="shared" si="202"/>
        <v/>
      </c>
      <c r="BH28" s="48" t="str">
        <f t="shared" si="202"/>
        <v/>
      </c>
      <c r="BI28" s="48" t="str">
        <f t="shared" si="202"/>
        <v/>
      </c>
      <c r="BJ28" s="48" t="str">
        <f t="shared" si="202"/>
        <v/>
      </c>
      <c r="BK28" s="48" t="str">
        <f t="shared" si="202"/>
        <v/>
      </c>
      <c r="BL28" s="48" t="str">
        <f t="shared" si="41"/>
        <v/>
      </c>
      <c r="BM28" s="48">
        <f t="shared" si="42"/>
        <v>0</v>
      </c>
      <c r="BN28" s="48">
        <f t="shared" si="43"/>
        <v>0</v>
      </c>
      <c r="BO28" s="48">
        <f t="shared" si="44"/>
        <v>0</v>
      </c>
      <c r="BP28" s="47" t="str">
        <f t="shared" si="45"/>
        <v>#DIV/0!</v>
      </c>
      <c r="BQ28" s="54"/>
      <c r="BR28" s="54"/>
      <c r="BS28" s="54"/>
      <c r="BT28" s="47" t="str">
        <f t="shared" si="46"/>
        <v>#NUM!</v>
      </c>
      <c r="BU28" s="48"/>
      <c r="BV28" s="48">
        <f t="shared" si="47"/>
        <v>3</v>
      </c>
      <c r="BW28" s="48" t="str">
        <f t="shared" ref="BW28:CA28" si="203">MAX(($BU28*BW$58)+BW$59,2)</f>
        <v>#REF!</v>
      </c>
      <c r="BX28" s="48" t="str">
        <f t="shared" si="203"/>
        <v>#REF!</v>
      </c>
      <c r="BY28" s="48" t="str">
        <f t="shared" si="203"/>
        <v>#REF!</v>
      </c>
      <c r="BZ28" s="48" t="str">
        <f t="shared" si="203"/>
        <v>#REF!</v>
      </c>
      <c r="CA28" s="48" t="str">
        <f t="shared" si="203"/>
        <v>#REF!</v>
      </c>
      <c r="CB28" s="48" t="str">
        <f t="shared" si="49"/>
        <v>#REF!</v>
      </c>
      <c r="CC28" s="48" t="str">
        <f t="shared" ref="CC28:CH28" si="204">MAX(($BU28*CC$58)+CC$59,2)</f>
        <v>#REF!</v>
      </c>
      <c r="CD28" s="48" t="str">
        <f t="shared" si="204"/>
        <v>#REF!</v>
      </c>
      <c r="CE28" s="48" t="str">
        <f t="shared" si="204"/>
        <v>#REF!</v>
      </c>
      <c r="CF28" s="48" t="str">
        <f t="shared" si="204"/>
        <v>#REF!</v>
      </c>
      <c r="CG28" s="48" t="str">
        <f t="shared" si="204"/>
        <v>#REF!</v>
      </c>
      <c r="CH28" s="48" t="str">
        <f t="shared" si="204"/>
        <v>#REF!</v>
      </c>
      <c r="CI28" s="48" t="str">
        <f t="shared" si="51"/>
        <v>#REF!</v>
      </c>
      <c r="CJ28" s="48" t="str">
        <f t="shared" si="52"/>
        <v>#REF!</v>
      </c>
      <c r="CK28" s="48" t="str">
        <f t="shared" si="53"/>
        <v>#REF!</v>
      </c>
      <c r="CL28" s="48" t="str">
        <f t="shared" si="54"/>
        <v>#REF!</v>
      </c>
      <c r="CM28" s="47" t="str">
        <f t="shared" si="55"/>
        <v>#REF!</v>
      </c>
      <c r="CN28" s="47" t="str">
        <f t="shared" si="56"/>
        <v>#REF!</v>
      </c>
      <c r="CO28" s="47" t="str">
        <f t="shared" si="57"/>
        <v>#REF!</v>
      </c>
      <c r="CP28" s="47" t="str">
        <f t="shared" si="58"/>
        <v>#REF!</v>
      </c>
      <c r="CQ28" s="48"/>
      <c r="CR28" s="47" t="str">
        <f t="shared" ref="CR28:CU28" si="205">(M28-BY28)/M28</f>
        <v>#REF!</v>
      </c>
      <c r="CS28" s="47" t="str">
        <f t="shared" si="205"/>
        <v>#REF!</v>
      </c>
      <c r="CT28" s="47" t="str">
        <f t="shared" si="205"/>
        <v>#REF!</v>
      </c>
      <c r="CU28" s="47" t="str">
        <f t="shared" si="205"/>
        <v>#REF!</v>
      </c>
      <c r="CV28" s="48"/>
      <c r="CW28" s="47" t="str">
        <f t="shared" si="60"/>
        <v>#REF!</v>
      </c>
      <c r="CX28" s="47" t="str">
        <f t="shared" ref="CX28:CY28" si="206">(R28-CI28)/R28</f>
        <v>#REF!</v>
      </c>
      <c r="CY28" s="47" t="str">
        <f t="shared" si="206"/>
        <v>#REF!</v>
      </c>
      <c r="CZ28" s="47" t="str">
        <f t="shared" ref="CZ28:DA28" si="207">(T28-CD28)/T28</f>
        <v>#REF!</v>
      </c>
      <c r="DA28" s="47" t="str">
        <f t="shared" si="207"/>
        <v>#REF!</v>
      </c>
      <c r="DB28" s="48"/>
      <c r="DC28" s="47" t="str">
        <f t="shared" ref="DC28:DE28" si="208">MAX(0,CN28)*$DB28</f>
        <v>#REF!</v>
      </c>
      <c r="DD28" s="47" t="str">
        <f t="shared" si="208"/>
        <v>#REF!</v>
      </c>
      <c r="DE28" s="47" t="str">
        <f t="shared" si="208"/>
        <v>#REF!</v>
      </c>
      <c r="DF28" s="47" t="str">
        <f t="shared" ref="DF28:DI28" si="209">MAX(0,CR28)*$DB28</f>
        <v>#REF!</v>
      </c>
      <c r="DG28" s="47" t="str">
        <f t="shared" si="209"/>
        <v>#REF!</v>
      </c>
      <c r="DH28" s="47" t="str">
        <f t="shared" si="209"/>
        <v>#REF!</v>
      </c>
      <c r="DI28" s="47" t="str">
        <f t="shared" si="209"/>
        <v>#REF!</v>
      </c>
      <c r="DJ28" s="47" t="str">
        <f t="shared" ref="DJ28:DN28" si="210">MAX(0,CW28)*$DB28</f>
        <v>#REF!</v>
      </c>
      <c r="DK28" s="47" t="str">
        <f t="shared" si="210"/>
        <v>#REF!</v>
      </c>
      <c r="DL28" s="47" t="str">
        <f t="shared" si="210"/>
        <v>#REF!</v>
      </c>
      <c r="DM28" s="47" t="str">
        <f t="shared" si="210"/>
        <v>#REF!</v>
      </c>
      <c r="DN28" s="47" t="str">
        <f t="shared" si="210"/>
        <v>#REF!</v>
      </c>
      <c r="DO28" s="45"/>
      <c r="DP28" s="45"/>
      <c r="DQ28" s="45"/>
      <c r="DR28" s="45"/>
      <c r="DS28" s="45"/>
      <c r="DT28" s="45"/>
      <c r="DU28" s="45"/>
      <c r="DV28" s="66">
        <f t="shared" si="66"/>
        <v>0</v>
      </c>
      <c r="DW28" s="56"/>
      <c r="DX28" s="67"/>
    </row>
    <row r="29" ht="14.25" customHeight="1">
      <c r="A29" s="34" t="s">
        <v>33</v>
      </c>
      <c r="B29" s="68"/>
      <c r="C29" s="59" t="str">
        <f t="shared" si="211"/>
        <v/>
      </c>
      <c r="D29" s="59" t="str">
        <f t="shared" si="212"/>
        <v/>
      </c>
      <c r="E29" s="60" t="str">
        <f t="shared" si="213"/>
        <v/>
      </c>
      <c r="F29" s="61">
        <f>MAX((B29-I5)/365,0)</f>
        <v>0</v>
      </c>
      <c r="G29" s="59" t="str">
        <f t="shared" si="214"/>
        <v/>
      </c>
      <c r="H29" s="59" t="str">
        <f t="shared" si="215"/>
        <v/>
      </c>
      <c r="I29" s="62"/>
      <c r="J29" s="43"/>
      <c r="K29" s="43"/>
      <c r="L29" s="43"/>
      <c r="M29" s="43"/>
      <c r="N29" s="43"/>
      <c r="O29" s="43"/>
      <c r="P29" s="63"/>
      <c r="Q29" s="63"/>
      <c r="R29" s="43"/>
      <c r="S29" s="43"/>
      <c r="T29" s="43"/>
      <c r="U29" s="43"/>
      <c r="V29" s="43">
        <f t="shared" si="10"/>
        <v>0</v>
      </c>
      <c r="W29" s="45" t="str">
        <f t="shared" si="11"/>
        <v>#DIV/0!</v>
      </c>
      <c r="X29" s="45" t="str">
        <f t="shared" si="12"/>
        <v>#DIV/0!</v>
      </c>
      <c r="Y29" s="43">
        <f t="shared" si="13"/>
        <v>0</v>
      </c>
      <c r="Z29" s="43">
        <f t="shared" si="14"/>
        <v>0</v>
      </c>
      <c r="AA29" s="43">
        <f t="shared" si="15"/>
        <v>0</v>
      </c>
      <c r="AB29" s="43">
        <f t="shared" si="16"/>
        <v>0</v>
      </c>
      <c r="AC29" s="43">
        <f t="shared" si="17"/>
        <v>0</v>
      </c>
      <c r="AD29" s="43">
        <f t="shared" si="18"/>
        <v>0</v>
      </c>
      <c r="AE29" s="44"/>
      <c r="AF29" s="45" t="str">
        <f t="shared" si="19"/>
        <v>#DIV/0!</v>
      </c>
      <c r="AG29" s="45" t="str">
        <f t="shared" si="20"/>
        <v>#DIV/0!</v>
      </c>
      <c r="AH29" s="45" t="str">
        <f t="shared" si="21"/>
        <v>#DIV/0!</v>
      </c>
      <c r="AI29" s="45" t="str">
        <f t="shared" si="22"/>
        <v>#DIV/0!</v>
      </c>
      <c r="AJ29" s="45" t="str">
        <f t="shared" si="23"/>
        <v>#DIV/0!</v>
      </c>
      <c r="AK29" s="44"/>
      <c r="AL29" s="45" t="str">
        <f t="shared" si="24"/>
        <v>#DIV/0!</v>
      </c>
      <c r="AM29" s="70" t="str">
        <f t="shared" si="25"/>
        <v>#DIV/0!</v>
      </c>
      <c r="AN29" s="47" t="str">
        <f t="shared" si="26"/>
        <v>#NUM!</v>
      </c>
      <c r="AO29" s="47" t="str">
        <f t="shared" si="27"/>
        <v>#NUM!</v>
      </c>
      <c r="AP29" s="48">
        <f t="shared" si="28"/>
        <v>0.465</v>
      </c>
      <c r="AQ29" s="47" t="str">
        <f t="shared" si="29"/>
        <v>#DIV/0!</v>
      </c>
      <c r="AR29" s="47" t="str">
        <f t="shared" si="30"/>
        <v>#DIV/0!</v>
      </c>
      <c r="AS29" s="48"/>
      <c r="AT29" s="47" t="str">
        <f t="shared" si="31"/>
        <v>#DIV/0!</v>
      </c>
      <c r="AU29" s="71" t="str">
        <f t="shared" si="32"/>
        <v/>
      </c>
      <c r="AV29" s="47">
        <f t="shared" si="33"/>
        <v>-15</v>
      </c>
      <c r="AW29" s="48" t="str">
        <f t="shared" si="34"/>
        <v/>
      </c>
      <c r="AX29" s="47" t="str">
        <f t="shared" si="35"/>
        <v>#DIV/0!</v>
      </c>
      <c r="AY29" s="47">
        <f t="shared" si="36"/>
        <v>0.4375</v>
      </c>
      <c r="AZ29" s="47">
        <f t="shared" si="37"/>
        <v>0.6956521739</v>
      </c>
      <c r="BA29" s="52"/>
      <c r="BB29" s="48"/>
      <c r="BC29" s="48"/>
      <c r="BD29" s="47" t="str">
        <f t="shared" si="38"/>
        <v>#DIV/0!</v>
      </c>
      <c r="BE29" s="47" t="str">
        <f t="shared" si="39"/>
        <v>#DIV/0!</v>
      </c>
      <c r="BF29" s="48" t="str">
        <f t="shared" ref="BF29:BK29" si="216">L29</f>
        <v/>
      </c>
      <c r="BG29" s="48" t="str">
        <f t="shared" si="216"/>
        <v/>
      </c>
      <c r="BH29" s="48" t="str">
        <f t="shared" si="216"/>
        <v/>
      </c>
      <c r="BI29" s="48" t="str">
        <f t="shared" si="216"/>
        <v/>
      </c>
      <c r="BJ29" s="48" t="str">
        <f t="shared" si="216"/>
        <v/>
      </c>
      <c r="BK29" s="48" t="str">
        <f t="shared" si="216"/>
        <v/>
      </c>
      <c r="BL29" s="48" t="str">
        <f t="shared" si="41"/>
        <v/>
      </c>
      <c r="BM29" s="48">
        <f t="shared" si="42"/>
        <v>0</v>
      </c>
      <c r="BN29" s="48">
        <f t="shared" si="43"/>
        <v>0</v>
      </c>
      <c r="BO29" s="48">
        <f t="shared" si="44"/>
        <v>0</v>
      </c>
      <c r="BP29" s="47" t="str">
        <f t="shared" si="45"/>
        <v>#DIV/0!</v>
      </c>
      <c r="BQ29" s="54"/>
      <c r="BR29" s="54"/>
      <c r="BS29" s="54"/>
      <c r="BT29" s="47" t="str">
        <f t="shared" si="46"/>
        <v>#NUM!</v>
      </c>
      <c r="BU29" s="48"/>
      <c r="BV29" s="48">
        <f t="shared" si="47"/>
        <v>3</v>
      </c>
      <c r="BW29" s="48" t="str">
        <f t="shared" ref="BW29:CA29" si="217">MAX(($BU29*BW$58)+BW$59,2)</f>
        <v>#REF!</v>
      </c>
      <c r="BX29" s="48" t="str">
        <f t="shared" si="217"/>
        <v>#REF!</v>
      </c>
      <c r="BY29" s="48" t="str">
        <f t="shared" si="217"/>
        <v>#REF!</v>
      </c>
      <c r="BZ29" s="48" t="str">
        <f t="shared" si="217"/>
        <v>#REF!</v>
      </c>
      <c r="CA29" s="48" t="str">
        <f t="shared" si="217"/>
        <v>#REF!</v>
      </c>
      <c r="CB29" s="48" t="str">
        <f t="shared" si="49"/>
        <v>#REF!</v>
      </c>
      <c r="CC29" s="48" t="str">
        <f t="shared" ref="CC29:CH29" si="218">MAX(($BU29*CC$58)+CC$59,2)</f>
        <v>#REF!</v>
      </c>
      <c r="CD29" s="48" t="str">
        <f t="shared" si="218"/>
        <v>#REF!</v>
      </c>
      <c r="CE29" s="48" t="str">
        <f t="shared" si="218"/>
        <v>#REF!</v>
      </c>
      <c r="CF29" s="48" t="str">
        <f t="shared" si="218"/>
        <v>#REF!</v>
      </c>
      <c r="CG29" s="48" t="str">
        <f t="shared" si="218"/>
        <v>#REF!</v>
      </c>
      <c r="CH29" s="48" t="str">
        <f t="shared" si="218"/>
        <v>#REF!</v>
      </c>
      <c r="CI29" s="48" t="str">
        <f t="shared" si="51"/>
        <v>#REF!</v>
      </c>
      <c r="CJ29" s="48" t="str">
        <f t="shared" si="52"/>
        <v>#REF!</v>
      </c>
      <c r="CK29" s="48" t="str">
        <f t="shared" si="53"/>
        <v>#REF!</v>
      </c>
      <c r="CL29" s="48" t="str">
        <f t="shared" si="54"/>
        <v>#REF!</v>
      </c>
      <c r="CM29" s="47" t="str">
        <f t="shared" si="55"/>
        <v>#REF!</v>
      </c>
      <c r="CN29" s="47" t="str">
        <f t="shared" si="56"/>
        <v>#REF!</v>
      </c>
      <c r="CO29" s="47" t="str">
        <f t="shared" si="57"/>
        <v>#REF!</v>
      </c>
      <c r="CP29" s="47" t="str">
        <f t="shared" si="58"/>
        <v>#REF!</v>
      </c>
      <c r="CQ29" s="48"/>
      <c r="CR29" s="47" t="str">
        <f t="shared" ref="CR29:CU29" si="219">(M29-BY29)/M29</f>
        <v>#REF!</v>
      </c>
      <c r="CS29" s="47" t="str">
        <f t="shared" si="219"/>
        <v>#REF!</v>
      </c>
      <c r="CT29" s="47" t="str">
        <f t="shared" si="219"/>
        <v>#REF!</v>
      </c>
      <c r="CU29" s="47" t="str">
        <f t="shared" si="219"/>
        <v>#REF!</v>
      </c>
      <c r="CV29" s="48"/>
      <c r="CW29" s="47" t="str">
        <f t="shared" si="60"/>
        <v>#REF!</v>
      </c>
      <c r="CX29" s="47" t="str">
        <f t="shared" ref="CX29:CY29" si="220">(R29-CI29)/R29</f>
        <v>#REF!</v>
      </c>
      <c r="CY29" s="47" t="str">
        <f t="shared" si="220"/>
        <v>#REF!</v>
      </c>
      <c r="CZ29" s="47" t="str">
        <f t="shared" ref="CZ29:DA29" si="221">(T29-CD29)/T29</f>
        <v>#REF!</v>
      </c>
      <c r="DA29" s="47" t="str">
        <f t="shared" si="221"/>
        <v>#REF!</v>
      </c>
      <c r="DB29" s="48"/>
      <c r="DC29" s="47" t="str">
        <f t="shared" ref="DC29:DE29" si="222">MAX(0,CN29)*$DB29</f>
        <v>#REF!</v>
      </c>
      <c r="DD29" s="47" t="str">
        <f t="shared" si="222"/>
        <v>#REF!</v>
      </c>
      <c r="DE29" s="47" t="str">
        <f t="shared" si="222"/>
        <v>#REF!</v>
      </c>
      <c r="DF29" s="47" t="str">
        <f t="shared" ref="DF29:DI29" si="223">MAX(0,CR29)*$DB29</f>
        <v>#REF!</v>
      </c>
      <c r="DG29" s="47" t="str">
        <f t="shared" si="223"/>
        <v>#REF!</v>
      </c>
      <c r="DH29" s="47" t="str">
        <f t="shared" si="223"/>
        <v>#REF!</v>
      </c>
      <c r="DI29" s="47" t="str">
        <f t="shared" si="223"/>
        <v>#REF!</v>
      </c>
      <c r="DJ29" s="47" t="str">
        <f t="shared" ref="DJ29:DN29" si="224">MAX(0,CW29)*$DB29</f>
        <v>#REF!</v>
      </c>
      <c r="DK29" s="47" t="str">
        <f t="shared" si="224"/>
        <v>#REF!</v>
      </c>
      <c r="DL29" s="47" t="str">
        <f t="shared" si="224"/>
        <v>#REF!</v>
      </c>
      <c r="DM29" s="47" t="str">
        <f t="shared" si="224"/>
        <v>#REF!</v>
      </c>
      <c r="DN29" s="47" t="str">
        <f t="shared" si="224"/>
        <v>#REF!</v>
      </c>
      <c r="DO29" s="45"/>
      <c r="DP29" s="45"/>
      <c r="DQ29" s="45"/>
      <c r="DR29" s="45"/>
      <c r="DS29" s="45"/>
      <c r="DT29" s="45"/>
      <c r="DU29" s="45"/>
      <c r="DV29" s="55">
        <f t="shared" si="66"/>
        <v>0</v>
      </c>
      <c r="DW29" s="56"/>
      <c r="DX29" s="67"/>
    </row>
    <row r="30" ht="14.25" customHeight="1">
      <c r="A30" s="34" t="s">
        <v>33</v>
      </c>
      <c r="B30" s="68"/>
      <c r="C30" s="59" t="str">
        <f t="shared" si="211"/>
        <v/>
      </c>
      <c r="D30" s="59" t="str">
        <f t="shared" si="212"/>
        <v/>
      </c>
      <c r="E30" s="60" t="str">
        <f t="shared" si="213"/>
        <v/>
      </c>
      <c r="F30" s="61">
        <f>MAX((B30-I5)/365,0)</f>
        <v>0</v>
      </c>
      <c r="G30" s="59" t="str">
        <f t="shared" si="214"/>
        <v/>
      </c>
      <c r="H30" s="59" t="str">
        <f t="shared" si="215"/>
        <v/>
      </c>
      <c r="I30" s="62"/>
      <c r="J30" s="43"/>
      <c r="K30" s="43"/>
      <c r="L30" s="43"/>
      <c r="M30" s="43"/>
      <c r="N30" s="43"/>
      <c r="O30" s="43"/>
      <c r="P30" s="63"/>
      <c r="Q30" s="63"/>
      <c r="R30" s="43"/>
      <c r="S30" s="43"/>
      <c r="T30" s="43"/>
      <c r="U30" s="43"/>
      <c r="V30" s="43">
        <f t="shared" si="10"/>
        <v>0</v>
      </c>
      <c r="W30" s="45" t="str">
        <f t="shared" si="11"/>
        <v>#DIV/0!</v>
      </c>
      <c r="X30" s="45" t="str">
        <f t="shared" si="12"/>
        <v>#DIV/0!</v>
      </c>
      <c r="Y30" s="43">
        <f t="shared" si="13"/>
        <v>0</v>
      </c>
      <c r="Z30" s="43">
        <f t="shared" si="14"/>
        <v>0</v>
      </c>
      <c r="AA30" s="43">
        <f t="shared" si="15"/>
        <v>0</v>
      </c>
      <c r="AB30" s="43">
        <f t="shared" si="16"/>
        <v>0</v>
      </c>
      <c r="AC30" s="43">
        <f t="shared" si="17"/>
        <v>0</v>
      </c>
      <c r="AD30" s="43">
        <f t="shared" si="18"/>
        <v>0</v>
      </c>
      <c r="AE30" s="44"/>
      <c r="AF30" s="45" t="str">
        <f t="shared" si="19"/>
        <v>#DIV/0!</v>
      </c>
      <c r="AG30" s="45" t="str">
        <f t="shared" si="20"/>
        <v>#DIV/0!</v>
      </c>
      <c r="AH30" s="45" t="str">
        <f t="shared" si="21"/>
        <v>#DIV/0!</v>
      </c>
      <c r="AI30" s="45" t="str">
        <f t="shared" si="22"/>
        <v>#DIV/0!</v>
      </c>
      <c r="AJ30" s="45" t="str">
        <f t="shared" si="23"/>
        <v>#DIV/0!</v>
      </c>
      <c r="AK30" s="44"/>
      <c r="AL30" s="45" t="str">
        <f t="shared" si="24"/>
        <v>#DIV/0!</v>
      </c>
      <c r="AM30" s="70" t="str">
        <f t="shared" si="25"/>
        <v>#DIV/0!</v>
      </c>
      <c r="AN30" s="47" t="str">
        <f t="shared" si="26"/>
        <v>#NUM!</v>
      </c>
      <c r="AO30" s="47" t="str">
        <f t="shared" si="27"/>
        <v>#NUM!</v>
      </c>
      <c r="AP30" s="48">
        <f t="shared" si="28"/>
        <v>0.465</v>
      </c>
      <c r="AQ30" s="47" t="str">
        <f t="shared" si="29"/>
        <v>#DIV/0!</v>
      </c>
      <c r="AR30" s="47" t="str">
        <f t="shared" si="30"/>
        <v>#DIV/0!</v>
      </c>
      <c r="AS30" s="48"/>
      <c r="AT30" s="47" t="str">
        <f t="shared" si="31"/>
        <v>#DIV/0!</v>
      </c>
      <c r="AU30" s="71" t="str">
        <f t="shared" si="32"/>
        <v/>
      </c>
      <c r="AV30" s="47">
        <f t="shared" si="33"/>
        <v>-15</v>
      </c>
      <c r="AW30" s="48" t="str">
        <f t="shared" si="34"/>
        <v/>
      </c>
      <c r="AX30" s="47" t="str">
        <f t="shared" si="35"/>
        <v>#DIV/0!</v>
      </c>
      <c r="AY30" s="47">
        <f t="shared" si="36"/>
        <v>0.4375</v>
      </c>
      <c r="AZ30" s="47">
        <f t="shared" si="37"/>
        <v>0.6956521739</v>
      </c>
      <c r="BA30" s="52"/>
      <c r="BB30" s="48"/>
      <c r="BC30" s="48"/>
      <c r="BD30" s="47" t="str">
        <f t="shared" si="38"/>
        <v>#DIV/0!</v>
      </c>
      <c r="BE30" s="47" t="str">
        <f t="shared" si="39"/>
        <v>#DIV/0!</v>
      </c>
      <c r="BF30" s="48" t="str">
        <f t="shared" ref="BF30:BK30" si="225">L30</f>
        <v/>
      </c>
      <c r="BG30" s="48" t="str">
        <f t="shared" si="225"/>
        <v/>
      </c>
      <c r="BH30" s="48" t="str">
        <f t="shared" si="225"/>
        <v/>
      </c>
      <c r="BI30" s="48" t="str">
        <f t="shared" si="225"/>
        <v/>
      </c>
      <c r="BJ30" s="48" t="str">
        <f t="shared" si="225"/>
        <v/>
      </c>
      <c r="BK30" s="48" t="str">
        <f t="shared" si="225"/>
        <v/>
      </c>
      <c r="BL30" s="48" t="str">
        <f t="shared" si="41"/>
        <v/>
      </c>
      <c r="BM30" s="48">
        <f t="shared" si="42"/>
        <v>0</v>
      </c>
      <c r="BN30" s="48">
        <f t="shared" si="43"/>
        <v>0</v>
      </c>
      <c r="BO30" s="48">
        <f t="shared" si="44"/>
        <v>0</v>
      </c>
      <c r="BP30" s="47" t="str">
        <f t="shared" si="45"/>
        <v>#DIV/0!</v>
      </c>
      <c r="BQ30" s="54"/>
      <c r="BR30" s="54"/>
      <c r="BS30" s="54"/>
      <c r="BT30" s="47" t="str">
        <f t="shared" si="46"/>
        <v>#NUM!</v>
      </c>
      <c r="BU30" s="48"/>
      <c r="BV30" s="48">
        <f t="shared" si="47"/>
        <v>3</v>
      </c>
      <c r="BW30" s="48" t="str">
        <f t="shared" ref="BW30:CA30" si="226">MAX(($BU30*BW$58)+BW$59,2)</f>
        <v>#REF!</v>
      </c>
      <c r="BX30" s="48" t="str">
        <f t="shared" si="226"/>
        <v>#REF!</v>
      </c>
      <c r="BY30" s="48" t="str">
        <f t="shared" si="226"/>
        <v>#REF!</v>
      </c>
      <c r="BZ30" s="48" t="str">
        <f t="shared" si="226"/>
        <v>#REF!</v>
      </c>
      <c r="CA30" s="48" t="str">
        <f t="shared" si="226"/>
        <v>#REF!</v>
      </c>
      <c r="CB30" s="48" t="str">
        <f t="shared" si="49"/>
        <v>#REF!</v>
      </c>
      <c r="CC30" s="48" t="str">
        <f t="shared" ref="CC30:CH30" si="227">MAX(($BU30*CC$58)+CC$59,2)</f>
        <v>#REF!</v>
      </c>
      <c r="CD30" s="48" t="str">
        <f t="shared" si="227"/>
        <v>#REF!</v>
      </c>
      <c r="CE30" s="48" t="str">
        <f t="shared" si="227"/>
        <v>#REF!</v>
      </c>
      <c r="CF30" s="48" t="str">
        <f t="shared" si="227"/>
        <v>#REF!</v>
      </c>
      <c r="CG30" s="48" t="str">
        <f t="shared" si="227"/>
        <v>#REF!</v>
      </c>
      <c r="CH30" s="48" t="str">
        <f t="shared" si="227"/>
        <v>#REF!</v>
      </c>
      <c r="CI30" s="48" t="str">
        <f t="shared" si="51"/>
        <v>#REF!</v>
      </c>
      <c r="CJ30" s="48" t="str">
        <f t="shared" si="52"/>
        <v>#REF!</v>
      </c>
      <c r="CK30" s="48" t="str">
        <f t="shared" si="53"/>
        <v>#REF!</v>
      </c>
      <c r="CL30" s="48" t="str">
        <f t="shared" si="54"/>
        <v>#REF!</v>
      </c>
      <c r="CM30" s="47" t="str">
        <f t="shared" si="55"/>
        <v>#REF!</v>
      </c>
      <c r="CN30" s="47" t="str">
        <f t="shared" si="56"/>
        <v>#REF!</v>
      </c>
      <c r="CO30" s="47" t="str">
        <f t="shared" si="57"/>
        <v>#REF!</v>
      </c>
      <c r="CP30" s="47" t="str">
        <f t="shared" si="58"/>
        <v>#REF!</v>
      </c>
      <c r="CQ30" s="48"/>
      <c r="CR30" s="47" t="str">
        <f t="shared" ref="CR30:CU30" si="228">(M30-BY30)/M30</f>
        <v>#REF!</v>
      </c>
      <c r="CS30" s="47" t="str">
        <f t="shared" si="228"/>
        <v>#REF!</v>
      </c>
      <c r="CT30" s="47" t="str">
        <f t="shared" si="228"/>
        <v>#REF!</v>
      </c>
      <c r="CU30" s="47" t="str">
        <f t="shared" si="228"/>
        <v>#REF!</v>
      </c>
      <c r="CV30" s="48"/>
      <c r="CW30" s="47" t="str">
        <f t="shared" si="60"/>
        <v>#REF!</v>
      </c>
      <c r="CX30" s="47" t="str">
        <f t="shared" ref="CX30:CY30" si="229">(R30-CI30)/R30</f>
        <v>#REF!</v>
      </c>
      <c r="CY30" s="47" t="str">
        <f t="shared" si="229"/>
        <v>#REF!</v>
      </c>
      <c r="CZ30" s="47" t="str">
        <f t="shared" ref="CZ30:DA30" si="230">(T30-CD30)/T30</f>
        <v>#REF!</v>
      </c>
      <c r="DA30" s="47" t="str">
        <f t="shared" si="230"/>
        <v>#REF!</v>
      </c>
      <c r="DB30" s="48"/>
      <c r="DC30" s="47" t="str">
        <f t="shared" ref="DC30:DE30" si="231">MAX(0,CN30)*$DB30</f>
        <v>#REF!</v>
      </c>
      <c r="DD30" s="47" t="str">
        <f t="shared" si="231"/>
        <v>#REF!</v>
      </c>
      <c r="DE30" s="47" t="str">
        <f t="shared" si="231"/>
        <v>#REF!</v>
      </c>
      <c r="DF30" s="47" t="str">
        <f t="shared" ref="DF30:DI30" si="232">MAX(0,CR30)*$DB30</f>
        <v>#REF!</v>
      </c>
      <c r="DG30" s="47" t="str">
        <f t="shared" si="232"/>
        <v>#REF!</v>
      </c>
      <c r="DH30" s="47" t="str">
        <f t="shared" si="232"/>
        <v>#REF!</v>
      </c>
      <c r="DI30" s="47" t="str">
        <f t="shared" si="232"/>
        <v>#REF!</v>
      </c>
      <c r="DJ30" s="47" t="str">
        <f t="shared" ref="DJ30:DN30" si="233">MAX(0,CW30)*$DB30</f>
        <v>#REF!</v>
      </c>
      <c r="DK30" s="47" t="str">
        <f t="shared" si="233"/>
        <v>#REF!</v>
      </c>
      <c r="DL30" s="47" t="str">
        <f t="shared" si="233"/>
        <v>#REF!</v>
      </c>
      <c r="DM30" s="47" t="str">
        <f t="shared" si="233"/>
        <v>#REF!</v>
      </c>
      <c r="DN30" s="47" t="str">
        <f t="shared" si="233"/>
        <v>#REF!</v>
      </c>
      <c r="DO30" s="45"/>
      <c r="DP30" s="45"/>
      <c r="DQ30" s="45"/>
      <c r="DR30" s="45"/>
      <c r="DS30" s="45"/>
      <c r="DT30" s="45"/>
      <c r="DU30" s="45"/>
      <c r="DV30" s="66">
        <f t="shared" si="66"/>
        <v>0</v>
      </c>
      <c r="DW30" s="56"/>
      <c r="DX30" s="67"/>
    </row>
    <row r="31" ht="14.25" customHeight="1">
      <c r="A31" s="34" t="s">
        <v>33</v>
      </c>
      <c r="B31" s="68"/>
      <c r="C31" s="59" t="str">
        <f t="shared" si="211"/>
        <v/>
      </c>
      <c r="D31" s="59" t="str">
        <f t="shared" si="212"/>
        <v/>
      </c>
      <c r="E31" s="60" t="str">
        <f t="shared" si="213"/>
        <v/>
      </c>
      <c r="F31" s="61">
        <f>MAX((B31-I5)/365,0)</f>
        <v>0</v>
      </c>
      <c r="G31" s="59" t="str">
        <f t="shared" si="214"/>
        <v/>
      </c>
      <c r="H31" s="59" t="str">
        <f t="shared" si="215"/>
        <v/>
      </c>
      <c r="I31" s="62"/>
      <c r="J31" s="43"/>
      <c r="K31" s="43"/>
      <c r="L31" s="43"/>
      <c r="M31" s="43"/>
      <c r="N31" s="43"/>
      <c r="O31" s="43"/>
      <c r="P31" s="63"/>
      <c r="Q31" s="63"/>
      <c r="R31" s="43"/>
      <c r="S31" s="43"/>
      <c r="T31" s="43"/>
      <c r="U31" s="43"/>
      <c r="V31" s="43">
        <f t="shared" si="10"/>
        <v>0</v>
      </c>
      <c r="W31" s="45" t="str">
        <f t="shared" si="11"/>
        <v>#DIV/0!</v>
      </c>
      <c r="X31" s="45" t="str">
        <f t="shared" si="12"/>
        <v>#DIV/0!</v>
      </c>
      <c r="Y31" s="43">
        <f t="shared" si="13"/>
        <v>0</v>
      </c>
      <c r="Z31" s="43">
        <f t="shared" si="14"/>
        <v>0</v>
      </c>
      <c r="AA31" s="43">
        <f t="shared" si="15"/>
        <v>0</v>
      </c>
      <c r="AB31" s="43">
        <f t="shared" si="16"/>
        <v>0</v>
      </c>
      <c r="AC31" s="43">
        <f t="shared" si="17"/>
        <v>0</v>
      </c>
      <c r="AD31" s="43">
        <f t="shared" si="18"/>
        <v>0</v>
      </c>
      <c r="AE31" s="44"/>
      <c r="AF31" s="45" t="str">
        <f t="shared" si="19"/>
        <v>#DIV/0!</v>
      </c>
      <c r="AG31" s="45" t="str">
        <f t="shared" si="20"/>
        <v>#DIV/0!</v>
      </c>
      <c r="AH31" s="45" t="str">
        <f t="shared" si="21"/>
        <v>#DIV/0!</v>
      </c>
      <c r="AI31" s="45" t="str">
        <f t="shared" si="22"/>
        <v>#DIV/0!</v>
      </c>
      <c r="AJ31" s="45" t="str">
        <f t="shared" si="23"/>
        <v>#DIV/0!</v>
      </c>
      <c r="AK31" s="44"/>
      <c r="AL31" s="45" t="str">
        <f t="shared" si="24"/>
        <v>#DIV/0!</v>
      </c>
      <c r="AM31" s="70" t="str">
        <f t="shared" si="25"/>
        <v>#DIV/0!</v>
      </c>
      <c r="AN31" s="47" t="str">
        <f t="shared" si="26"/>
        <v>#NUM!</v>
      </c>
      <c r="AO31" s="47" t="str">
        <f t="shared" si="27"/>
        <v>#NUM!</v>
      </c>
      <c r="AP31" s="48">
        <f t="shared" si="28"/>
        <v>0.465</v>
      </c>
      <c r="AQ31" s="47" t="str">
        <f t="shared" si="29"/>
        <v>#DIV/0!</v>
      </c>
      <c r="AR31" s="47" t="str">
        <f t="shared" si="30"/>
        <v>#DIV/0!</v>
      </c>
      <c r="AS31" s="48"/>
      <c r="AT31" s="47" t="str">
        <f t="shared" si="31"/>
        <v>#DIV/0!</v>
      </c>
      <c r="AU31" s="71" t="str">
        <f t="shared" si="32"/>
        <v/>
      </c>
      <c r="AV31" s="47">
        <f t="shared" si="33"/>
        <v>-15</v>
      </c>
      <c r="AW31" s="48" t="str">
        <f t="shared" si="34"/>
        <v/>
      </c>
      <c r="AX31" s="47" t="str">
        <f t="shared" si="35"/>
        <v>#DIV/0!</v>
      </c>
      <c r="AY31" s="47">
        <f t="shared" si="36"/>
        <v>0.4375</v>
      </c>
      <c r="AZ31" s="47">
        <f t="shared" si="37"/>
        <v>0.6956521739</v>
      </c>
      <c r="BA31" s="52"/>
      <c r="BB31" s="48"/>
      <c r="BC31" s="48"/>
      <c r="BD31" s="47" t="str">
        <f t="shared" si="38"/>
        <v>#DIV/0!</v>
      </c>
      <c r="BE31" s="47" t="str">
        <f t="shared" si="39"/>
        <v>#DIV/0!</v>
      </c>
      <c r="BF31" s="48" t="str">
        <f t="shared" ref="BF31:BK31" si="234">L31</f>
        <v/>
      </c>
      <c r="BG31" s="48" t="str">
        <f t="shared" si="234"/>
        <v/>
      </c>
      <c r="BH31" s="48" t="str">
        <f t="shared" si="234"/>
        <v/>
      </c>
      <c r="BI31" s="48" t="str">
        <f t="shared" si="234"/>
        <v/>
      </c>
      <c r="BJ31" s="48" t="str">
        <f t="shared" si="234"/>
        <v/>
      </c>
      <c r="BK31" s="48" t="str">
        <f t="shared" si="234"/>
        <v/>
      </c>
      <c r="BL31" s="48" t="str">
        <f t="shared" si="41"/>
        <v/>
      </c>
      <c r="BM31" s="48">
        <f t="shared" si="42"/>
        <v>0</v>
      </c>
      <c r="BN31" s="48">
        <f t="shared" si="43"/>
        <v>0</v>
      </c>
      <c r="BO31" s="48">
        <f t="shared" si="44"/>
        <v>0</v>
      </c>
      <c r="BP31" s="47" t="str">
        <f t="shared" si="45"/>
        <v>#DIV/0!</v>
      </c>
      <c r="BQ31" s="54"/>
      <c r="BR31" s="54"/>
      <c r="BS31" s="54"/>
      <c r="BT31" s="47" t="str">
        <f t="shared" si="46"/>
        <v>#NUM!</v>
      </c>
      <c r="BU31" s="48"/>
      <c r="BV31" s="48">
        <f t="shared" si="47"/>
        <v>3</v>
      </c>
      <c r="BW31" s="48" t="str">
        <f t="shared" ref="BW31:CA31" si="235">MAX(($BU31*BW$58)+BW$59,2)</f>
        <v>#REF!</v>
      </c>
      <c r="BX31" s="48" t="str">
        <f t="shared" si="235"/>
        <v>#REF!</v>
      </c>
      <c r="BY31" s="48" t="str">
        <f t="shared" si="235"/>
        <v>#REF!</v>
      </c>
      <c r="BZ31" s="48" t="str">
        <f t="shared" si="235"/>
        <v>#REF!</v>
      </c>
      <c r="CA31" s="48" t="str">
        <f t="shared" si="235"/>
        <v>#REF!</v>
      </c>
      <c r="CB31" s="48" t="str">
        <f t="shared" si="49"/>
        <v>#REF!</v>
      </c>
      <c r="CC31" s="48" t="str">
        <f t="shared" ref="CC31:CH31" si="236">MAX(($BU31*CC$58)+CC$59,2)</f>
        <v>#REF!</v>
      </c>
      <c r="CD31" s="48" t="str">
        <f t="shared" si="236"/>
        <v>#REF!</v>
      </c>
      <c r="CE31" s="48" t="str">
        <f t="shared" si="236"/>
        <v>#REF!</v>
      </c>
      <c r="CF31" s="48" t="str">
        <f t="shared" si="236"/>
        <v>#REF!</v>
      </c>
      <c r="CG31" s="48" t="str">
        <f t="shared" si="236"/>
        <v>#REF!</v>
      </c>
      <c r="CH31" s="48" t="str">
        <f t="shared" si="236"/>
        <v>#REF!</v>
      </c>
      <c r="CI31" s="48" t="str">
        <f t="shared" si="51"/>
        <v>#REF!</v>
      </c>
      <c r="CJ31" s="48" t="str">
        <f t="shared" si="52"/>
        <v>#REF!</v>
      </c>
      <c r="CK31" s="48" t="str">
        <f t="shared" si="53"/>
        <v>#REF!</v>
      </c>
      <c r="CL31" s="48" t="str">
        <f t="shared" si="54"/>
        <v>#REF!</v>
      </c>
      <c r="CM31" s="47" t="str">
        <f t="shared" si="55"/>
        <v>#REF!</v>
      </c>
      <c r="CN31" s="47" t="str">
        <f t="shared" si="56"/>
        <v>#REF!</v>
      </c>
      <c r="CO31" s="47" t="str">
        <f t="shared" si="57"/>
        <v>#REF!</v>
      </c>
      <c r="CP31" s="47" t="str">
        <f t="shared" si="58"/>
        <v>#REF!</v>
      </c>
      <c r="CQ31" s="48"/>
      <c r="CR31" s="47" t="str">
        <f t="shared" ref="CR31:CU31" si="237">(M31-BY31)/M31</f>
        <v>#REF!</v>
      </c>
      <c r="CS31" s="47" t="str">
        <f t="shared" si="237"/>
        <v>#REF!</v>
      </c>
      <c r="CT31" s="47" t="str">
        <f t="shared" si="237"/>
        <v>#REF!</v>
      </c>
      <c r="CU31" s="47" t="str">
        <f t="shared" si="237"/>
        <v>#REF!</v>
      </c>
      <c r="CV31" s="48"/>
      <c r="CW31" s="47" t="str">
        <f t="shared" si="60"/>
        <v>#REF!</v>
      </c>
      <c r="CX31" s="47" t="str">
        <f t="shared" ref="CX31:CY31" si="238">(R31-CI31)/R31</f>
        <v>#REF!</v>
      </c>
      <c r="CY31" s="47" t="str">
        <f t="shared" si="238"/>
        <v>#REF!</v>
      </c>
      <c r="CZ31" s="47" t="str">
        <f t="shared" ref="CZ31:DA31" si="239">(T31-CD31)/T31</f>
        <v>#REF!</v>
      </c>
      <c r="DA31" s="47" t="str">
        <f t="shared" si="239"/>
        <v>#REF!</v>
      </c>
      <c r="DB31" s="48"/>
      <c r="DC31" s="47" t="str">
        <f t="shared" ref="DC31:DE31" si="240">MAX(0,CN31)*$DB31</f>
        <v>#REF!</v>
      </c>
      <c r="DD31" s="47" t="str">
        <f t="shared" si="240"/>
        <v>#REF!</v>
      </c>
      <c r="DE31" s="47" t="str">
        <f t="shared" si="240"/>
        <v>#REF!</v>
      </c>
      <c r="DF31" s="47" t="str">
        <f t="shared" ref="DF31:DI31" si="241">MAX(0,CR31)*$DB31</f>
        <v>#REF!</v>
      </c>
      <c r="DG31" s="47" t="str">
        <f t="shared" si="241"/>
        <v>#REF!</v>
      </c>
      <c r="DH31" s="47" t="str">
        <f t="shared" si="241"/>
        <v>#REF!</v>
      </c>
      <c r="DI31" s="47" t="str">
        <f t="shared" si="241"/>
        <v>#REF!</v>
      </c>
      <c r="DJ31" s="47" t="str">
        <f t="shared" ref="DJ31:DN31" si="242">MAX(0,CW31)*$DB31</f>
        <v>#REF!</v>
      </c>
      <c r="DK31" s="47" t="str">
        <f t="shared" si="242"/>
        <v>#REF!</v>
      </c>
      <c r="DL31" s="47" t="str">
        <f t="shared" si="242"/>
        <v>#REF!</v>
      </c>
      <c r="DM31" s="47" t="str">
        <f t="shared" si="242"/>
        <v>#REF!</v>
      </c>
      <c r="DN31" s="47" t="str">
        <f t="shared" si="242"/>
        <v>#REF!</v>
      </c>
      <c r="DO31" s="45"/>
      <c r="DP31" s="45"/>
      <c r="DQ31" s="45"/>
      <c r="DR31" s="45"/>
      <c r="DS31" s="45"/>
      <c r="DT31" s="45"/>
      <c r="DU31" s="45"/>
      <c r="DV31" s="55">
        <f t="shared" si="66"/>
        <v>0</v>
      </c>
      <c r="DW31" s="56"/>
      <c r="DX31" s="67"/>
    </row>
    <row r="32" ht="15.0" customHeight="1">
      <c r="A32" s="34" t="s">
        <v>33</v>
      </c>
      <c r="B32" s="68"/>
      <c r="C32" s="59" t="str">
        <f t="shared" si="211"/>
        <v/>
      </c>
      <c r="D32" s="59" t="str">
        <f t="shared" si="212"/>
        <v/>
      </c>
      <c r="E32" s="60" t="str">
        <f t="shared" si="213"/>
        <v/>
      </c>
      <c r="F32" s="61">
        <f>MAX((B32-I5)/365,0)</f>
        <v>0</v>
      </c>
      <c r="G32" s="59" t="str">
        <f t="shared" si="214"/>
        <v/>
      </c>
      <c r="H32" s="59" t="str">
        <f t="shared" si="215"/>
        <v/>
      </c>
      <c r="I32" s="62"/>
      <c r="J32" s="43"/>
      <c r="K32" s="43"/>
      <c r="L32" s="43"/>
      <c r="M32" s="43"/>
      <c r="N32" s="43"/>
      <c r="O32" s="43"/>
      <c r="P32" s="63"/>
      <c r="Q32" s="63"/>
      <c r="R32" s="43"/>
      <c r="S32" s="43"/>
      <c r="T32" s="43"/>
      <c r="U32" s="43"/>
      <c r="V32" s="43">
        <f t="shared" si="10"/>
        <v>0</v>
      </c>
      <c r="W32" s="45" t="str">
        <f t="shared" si="11"/>
        <v>#DIV/0!</v>
      </c>
      <c r="X32" s="45" t="str">
        <f t="shared" si="12"/>
        <v>#DIV/0!</v>
      </c>
      <c r="Y32" s="43">
        <f t="shared" si="13"/>
        <v>0</v>
      </c>
      <c r="Z32" s="43">
        <f t="shared" si="14"/>
        <v>0</v>
      </c>
      <c r="AA32" s="43">
        <f t="shared" si="15"/>
        <v>0</v>
      </c>
      <c r="AB32" s="43">
        <f t="shared" si="16"/>
        <v>0</v>
      </c>
      <c r="AC32" s="43">
        <f t="shared" si="17"/>
        <v>0</v>
      </c>
      <c r="AD32" s="43">
        <f t="shared" si="18"/>
        <v>0</v>
      </c>
      <c r="AE32" s="44"/>
      <c r="AF32" s="45" t="str">
        <f t="shared" si="19"/>
        <v>#DIV/0!</v>
      </c>
      <c r="AG32" s="45" t="str">
        <f t="shared" si="20"/>
        <v>#DIV/0!</v>
      </c>
      <c r="AH32" s="45" t="str">
        <f t="shared" si="21"/>
        <v>#DIV/0!</v>
      </c>
      <c r="AI32" s="45" t="str">
        <f t="shared" si="22"/>
        <v>#DIV/0!</v>
      </c>
      <c r="AJ32" s="45" t="str">
        <f t="shared" si="23"/>
        <v>#DIV/0!</v>
      </c>
      <c r="AK32" s="44"/>
      <c r="AL32" s="45" t="str">
        <f t="shared" si="24"/>
        <v>#DIV/0!</v>
      </c>
      <c r="AM32" s="70" t="str">
        <f t="shared" si="25"/>
        <v>#DIV/0!</v>
      </c>
      <c r="AN32" s="47" t="str">
        <f t="shared" si="26"/>
        <v>#NUM!</v>
      </c>
      <c r="AO32" s="47" t="str">
        <f t="shared" si="27"/>
        <v>#NUM!</v>
      </c>
      <c r="AP32" s="48">
        <f t="shared" si="28"/>
        <v>0.465</v>
      </c>
      <c r="AQ32" s="47" t="str">
        <f t="shared" si="29"/>
        <v>#DIV/0!</v>
      </c>
      <c r="AR32" s="47" t="str">
        <f t="shared" si="30"/>
        <v>#DIV/0!</v>
      </c>
      <c r="AS32" s="48"/>
      <c r="AT32" s="47" t="str">
        <f t="shared" si="31"/>
        <v>#DIV/0!</v>
      </c>
      <c r="AU32" s="71" t="str">
        <f t="shared" si="32"/>
        <v/>
      </c>
      <c r="AV32" s="47">
        <f t="shared" si="33"/>
        <v>-15</v>
      </c>
      <c r="AW32" s="48" t="str">
        <f t="shared" si="34"/>
        <v/>
      </c>
      <c r="AX32" s="47" t="str">
        <f t="shared" si="35"/>
        <v>#DIV/0!</v>
      </c>
      <c r="AY32" s="47">
        <f t="shared" si="36"/>
        <v>0.4375</v>
      </c>
      <c r="AZ32" s="47">
        <f t="shared" si="37"/>
        <v>0.6956521739</v>
      </c>
      <c r="BA32" s="52"/>
      <c r="BB32" s="48"/>
      <c r="BC32" s="48"/>
      <c r="BD32" s="47" t="str">
        <f t="shared" si="38"/>
        <v>#DIV/0!</v>
      </c>
      <c r="BE32" s="47" t="str">
        <f t="shared" si="39"/>
        <v>#DIV/0!</v>
      </c>
      <c r="BF32" s="48" t="str">
        <f t="shared" ref="BF32:BK32" si="243">L32</f>
        <v/>
      </c>
      <c r="BG32" s="48" t="str">
        <f t="shared" si="243"/>
        <v/>
      </c>
      <c r="BH32" s="48" t="str">
        <f t="shared" si="243"/>
        <v/>
      </c>
      <c r="BI32" s="48" t="str">
        <f t="shared" si="243"/>
        <v/>
      </c>
      <c r="BJ32" s="48" t="str">
        <f t="shared" si="243"/>
        <v/>
      </c>
      <c r="BK32" s="48" t="str">
        <f t="shared" si="243"/>
        <v/>
      </c>
      <c r="BL32" s="48" t="str">
        <f t="shared" si="41"/>
        <v/>
      </c>
      <c r="BM32" s="48">
        <f t="shared" si="42"/>
        <v>0</v>
      </c>
      <c r="BN32" s="48">
        <f t="shared" si="43"/>
        <v>0</v>
      </c>
      <c r="BO32" s="48">
        <f t="shared" si="44"/>
        <v>0</v>
      </c>
      <c r="BP32" s="47" t="str">
        <f t="shared" si="45"/>
        <v>#DIV/0!</v>
      </c>
      <c r="BQ32" s="54"/>
      <c r="BR32" s="54"/>
      <c r="BS32" s="54"/>
      <c r="BT32" s="47" t="str">
        <f t="shared" si="46"/>
        <v>#NUM!</v>
      </c>
      <c r="BU32" s="48"/>
      <c r="BV32" s="48">
        <f t="shared" si="47"/>
        <v>3</v>
      </c>
      <c r="BW32" s="48" t="str">
        <f t="shared" ref="BW32:CA32" si="244">MAX(($BU32*BW$58)+BW$59,2)</f>
        <v>#REF!</v>
      </c>
      <c r="BX32" s="48" t="str">
        <f t="shared" si="244"/>
        <v>#REF!</v>
      </c>
      <c r="BY32" s="48" t="str">
        <f t="shared" si="244"/>
        <v>#REF!</v>
      </c>
      <c r="BZ32" s="48" t="str">
        <f t="shared" si="244"/>
        <v>#REF!</v>
      </c>
      <c r="CA32" s="48" t="str">
        <f t="shared" si="244"/>
        <v>#REF!</v>
      </c>
      <c r="CB32" s="48" t="str">
        <f t="shared" si="49"/>
        <v>#REF!</v>
      </c>
      <c r="CC32" s="48" t="str">
        <f t="shared" ref="CC32:CH32" si="245">MAX(($BU32*CC$58)+CC$59,2)</f>
        <v>#REF!</v>
      </c>
      <c r="CD32" s="48" t="str">
        <f t="shared" si="245"/>
        <v>#REF!</v>
      </c>
      <c r="CE32" s="48" t="str">
        <f t="shared" si="245"/>
        <v>#REF!</v>
      </c>
      <c r="CF32" s="48" t="str">
        <f t="shared" si="245"/>
        <v>#REF!</v>
      </c>
      <c r="CG32" s="48" t="str">
        <f t="shared" si="245"/>
        <v>#REF!</v>
      </c>
      <c r="CH32" s="48" t="str">
        <f t="shared" si="245"/>
        <v>#REF!</v>
      </c>
      <c r="CI32" s="48" t="str">
        <f t="shared" si="51"/>
        <v>#REF!</v>
      </c>
      <c r="CJ32" s="48" t="str">
        <f t="shared" si="52"/>
        <v>#REF!</v>
      </c>
      <c r="CK32" s="48" t="str">
        <f t="shared" si="53"/>
        <v>#REF!</v>
      </c>
      <c r="CL32" s="48" t="str">
        <f t="shared" si="54"/>
        <v>#REF!</v>
      </c>
      <c r="CM32" s="47" t="str">
        <f t="shared" si="55"/>
        <v>#REF!</v>
      </c>
      <c r="CN32" s="47" t="str">
        <f t="shared" si="56"/>
        <v>#REF!</v>
      </c>
      <c r="CO32" s="47" t="str">
        <f t="shared" si="57"/>
        <v>#REF!</v>
      </c>
      <c r="CP32" s="47" t="str">
        <f t="shared" si="58"/>
        <v>#REF!</v>
      </c>
      <c r="CQ32" s="48"/>
      <c r="CR32" s="47" t="str">
        <f t="shared" ref="CR32:CU32" si="246">(M32-BY32)/M32</f>
        <v>#REF!</v>
      </c>
      <c r="CS32" s="47" t="str">
        <f t="shared" si="246"/>
        <v>#REF!</v>
      </c>
      <c r="CT32" s="47" t="str">
        <f t="shared" si="246"/>
        <v>#REF!</v>
      </c>
      <c r="CU32" s="47" t="str">
        <f t="shared" si="246"/>
        <v>#REF!</v>
      </c>
      <c r="CV32" s="48"/>
      <c r="CW32" s="47" t="str">
        <f t="shared" si="60"/>
        <v>#REF!</v>
      </c>
      <c r="CX32" s="47" t="str">
        <f t="shared" ref="CX32:CY32" si="247">(R32-CI32)/R32</f>
        <v>#REF!</v>
      </c>
      <c r="CY32" s="47" t="str">
        <f t="shared" si="247"/>
        <v>#REF!</v>
      </c>
      <c r="CZ32" s="47" t="str">
        <f t="shared" ref="CZ32:DA32" si="248">(T32-CD32)/T32</f>
        <v>#REF!</v>
      </c>
      <c r="DA32" s="47" t="str">
        <f t="shared" si="248"/>
        <v>#REF!</v>
      </c>
      <c r="DB32" s="48"/>
      <c r="DC32" s="47" t="str">
        <f t="shared" ref="DC32:DE32" si="249">MAX(0,CN32)*$DB32</f>
        <v>#REF!</v>
      </c>
      <c r="DD32" s="47" t="str">
        <f t="shared" si="249"/>
        <v>#REF!</v>
      </c>
      <c r="DE32" s="47" t="str">
        <f t="shared" si="249"/>
        <v>#REF!</v>
      </c>
      <c r="DF32" s="47" t="str">
        <f t="shared" ref="DF32:DI32" si="250">MAX(0,CR32)*$DB32</f>
        <v>#REF!</v>
      </c>
      <c r="DG32" s="47" t="str">
        <f t="shared" si="250"/>
        <v>#REF!</v>
      </c>
      <c r="DH32" s="47" t="str">
        <f t="shared" si="250"/>
        <v>#REF!</v>
      </c>
      <c r="DI32" s="47" t="str">
        <f t="shared" si="250"/>
        <v>#REF!</v>
      </c>
      <c r="DJ32" s="47" t="str">
        <f t="shared" ref="DJ32:DN32" si="251">MAX(0,CW32)*$DB32</f>
        <v>#REF!</v>
      </c>
      <c r="DK32" s="47" t="str">
        <f t="shared" si="251"/>
        <v>#REF!</v>
      </c>
      <c r="DL32" s="47" t="str">
        <f t="shared" si="251"/>
        <v>#REF!</v>
      </c>
      <c r="DM32" s="47" t="str">
        <f t="shared" si="251"/>
        <v>#REF!</v>
      </c>
      <c r="DN32" s="47" t="str">
        <f t="shared" si="251"/>
        <v>#REF!</v>
      </c>
      <c r="DO32" s="45"/>
      <c r="DP32" s="45"/>
      <c r="DQ32" s="45"/>
      <c r="DR32" s="45"/>
      <c r="DS32" s="45"/>
      <c r="DT32" s="45"/>
      <c r="DU32" s="45"/>
      <c r="DV32" s="66">
        <f t="shared" si="66"/>
        <v>0</v>
      </c>
      <c r="DW32" s="56"/>
      <c r="DX32" s="67"/>
    </row>
    <row r="33" ht="14.25" customHeight="1">
      <c r="A33" s="34" t="s">
        <v>33</v>
      </c>
      <c r="B33" s="68"/>
      <c r="C33" s="59" t="str">
        <f t="shared" si="211"/>
        <v/>
      </c>
      <c r="D33" s="59" t="str">
        <f t="shared" si="212"/>
        <v/>
      </c>
      <c r="E33" s="60" t="str">
        <f t="shared" si="213"/>
        <v/>
      </c>
      <c r="F33" s="61">
        <f>MAX((B33-I5)/365,0)</f>
        <v>0</v>
      </c>
      <c r="G33" s="59" t="str">
        <f t="shared" si="214"/>
        <v/>
      </c>
      <c r="H33" s="59" t="str">
        <f t="shared" si="215"/>
        <v/>
      </c>
      <c r="I33" s="62"/>
      <c r="J33" s="43"/>
      <c r="K33" s="43"/>
      <c r="L33" s="43"/>
      <c r="M33" s="43"/>
      <c r="N33" s="43"/>
      <c r="O33" s="43"/>
      <c r="P33" s="63"/>
      <c r="Q33" s="63"/>
      <c r="R33" s="43"/>
      <c r="S33" s="43"/>
      <c r="T33" s="43"/>
      <c r="U33" s="43"/>
      <c r="V33" s="43">
        <f t="shared" si="10"/>
        <v>0</v>
      </c>
      <c r="W33" s="45" t="str">
        <f t="shared" si="11"/>
        <v>#DIV/0!</v>
      </c>
      <c r="X33" s="45" t="str">
        <f t="shared" si="12"/>
        <v>#DIV/0!</v>
      </c>
      <c r="Y33" s="43">
        <f t="shared" si="13"/>
        <v>0</v>
      </c>
      <c r="Z33" s="43">
        <f t="shared" si="14"/>
        <v>0</v>
      </c>
      <c r="AA33" s="43">
        <f t="shared" si="15"/>
        <v>0</v>
      </c>
      <c r="AB33" s="43">
        <f t="shared" si="16"/>
        <v>0</v>
      </c>
      <c r="AC33" s="43">
        <f t="shared" si="17"/>
        <v>0</v>
      </c>
      <c r="AD33" s="43">
        <f t="shared" si="18"/>
        <v>0</v>
      </c>
      <c r="AE33" s="44"/>
      <c r="AF33" s="45" t="str">
        <f t="shared" si="19"/>
        <v>#DIV/0!</v>
      </c>
      <c r="AG33" s="45" t="str">
        <f t="shared" si="20"/>
        <v>#DIV/0!</v>
      </c>
      <c r="AH33" s="45" t="str">
        <f t="shared" si="21"/>
        <v>#DIV/0!</v>
      </c>
      <c r="AI33" s="45" t="str">
        <f t="shared" si="22"/>
        <v>#DIV/0!</v>
      </c>
      <c r="AJ33" s="45" t="str">
        <f t="shared" si="23"/>
        <v>#DIV/0!</v>
      </c>
      <c r="AK33" s="44"/>
      <c r="AL33" s="45" t="str">
        <f t="shared" si="24"/>
        <v>#DIV/0!</v>
      </c>
      <c r="AM33" s="70" t="str">
        <f t="shared" si="25"/>
        <v>#DIV/0!</v>
      </c>
      <c r="AN33" s="47" t="str">
        <f t="shared" si="26"/>
        <v>#NUM!</v>
      </c>
      <c r="AO33" s="47" t="str">
        <f t="shared" si="27"/>
        <v>#NUM!</v>
      </c>
      <c r="AP33" s="48">
        <f t="shared" si="28"/>
        <v>0.465</v>
      </c>
      <c r="AQ33" s="47" t="str">
        <f t="shared" si="29"/>
        <v>#DIV/0!</v>
      </c>
      <c r="AR33" s="47" t="str">
        <f t="shared" si="30"/>
        <v>#DIV/0!</v>
      </c>
      <c r="AS33" s="48"/>
      <c r="AT33" s="47" t="str">
        <f t="shared" si="31"/>
        <v>#DIV/0!</v>
      </c>
      <c r="AU33" s="71" t="str">
        <f t="shared" si="32"/>
        <v/>
      </c>
      <c r="AV33" s="47">
        <f t="shared" si="33"/>
        <v>-15</v>
      </c>
      <c r="AW33" s="48" t="str">
        <f t="shared" si="34"/>
        <v/>
      </c>
      <c r="AX33" s="47" t="str">
        <f t="shared" si="35"/>
        <v>#DIV/0!</v>
      </c>
      <c r="AY33" s="47">
        <f t="shared" si="36"/>
        <v>0.4375</v>
      </c>
      <c r="AZ33" s="47">
        <f t="shared" si="37"/>
        <v>0.6956521739</v>
      </c>
      <c r="BA33" s="52"/>
      <c r="BB33" s="48"/>
      <c r="BC33" s="48"/>
      <c r="BD33" s="47" t="str">
        <f t="shared" si="38"/>
        <v>#DIV/0!</v>
      </c>
      <c r="BE33" s="47" t="str">
        <f t="shared" si="39"/>
        <v>#DIV/0!</v>
      </c>
      <c r="BF33" s="48" t="str">
        <f t="shared" ref="BF33:BK33" si="252">L33</f>
        <v/>
      </c>
      <c r="BG33" s="48" t="str">
        <f t="shared" si="252"/>
        <v/>
      </c>
      <c r="BH33" s="48" t="str">
        <f t="shared" si="252"/>
        <v/>
      </c>
      <c r="BI33" s="48" t="str">
        <f t="shared" si="252"/>
        <v/>
      </c>
      <c r="BJ33" s="48" t="str">
        <f t="shared" si="252"/>
        <v/>
      </c>
      <c r="BK33" s="48" t="str">
        <f t="shared" si="252"/>
        <v/>
      </c>
      <c r="BL33" s="48" t="str">
        <f t="shared" si="41"/>
        <v/>
      </c>
      <c r="BM33" s="48">
        <f t="shared" si="42"/>
        <v>0</v>
      </c>
      <c r="BN33" s="48">
        <f t="shared" si="43"/>
        <v>0</v>
      </c>
      <c r="BO33" s="48">
        <f t="shared" si="44"/>
        <v>0</v>
      </c>
      <c r="BP33" s="47" t="str">
        <f t="shared" si="45"/>
        <v>#DIV/0!</v>
      </c>
      <c r="BQ33" s="54"/>
      <c r="BR33" s="54"/>
      <c r="BS33" s="54"/>
      <c r="BT33" s="47" t="str">
        <f t="shared" si="46"/>
        <v>#NUM!</v>
      </c>
      <c r="BU33" s="48"/>
      <c r="BV33" s="48">
        <f t="shared" si="47"/>
        <v>3</v>
      </c>
      <c r="BW33" s="48" t="str">
        <f t="shared" ref="BW33:CA33" si="253">MAX(($BU33*BW$58)+BW$59,2)</f>
        <v>#REF!</v>
      </c>
      <c r="BX33" s="48" t="str">
        <f t="shared" si="253"/>
        <v>#REF!</v>
      </c>
      <c r="BY33" s="48" t="str">
        <f t="shared" si="253"/>
        <v>#REF!</v>
      </c>
      <c r="BZ33" s="48" t="str">
        <f t="shared" si="253"/>
        <v>#REF!</v>
      </c>
      <c r="CA33" s="48" t="str">
        <f t="shared" si="253"/>
        <v>#REF!</v>
      </c>
      <c r="CB33" s="48" t="str">
        <f t="shared" si="49"/>
        <v>#REF!</v>
      </c>
      <c r="CC33" s="48" t="str">
        <f t="shared" ref="CC33:CH33" si="254">MAX(($BU33*CC$58)+CC$59,2)</f>
        <v>#REF!</v>
      </c>
      <c r="CD33" s="48" t="str">
        <f t="shared" si="254"/>
        <v>#REF!</v>
      </c>
      <c r="CE33" s="48" t="str">
        <f t="shared" si="254"/>
        <v>#REF!</v>
      </c>
      <c r="CF33" s="48" t="str">
        <f t="shared" si="254"/>
        <v>#REF!</v>
      </c>
      <c r="CG33" s="48" t="str">
        <f t="shared" si="254"/>
        <v>#REF!</v>
      </c>
      <c r="CH33" s="48" t="str">
        <f t="shared" si="254"/>
        <v>#REF!</v>
      </c>
      <c r="CI33" s="48" t="str">
        <f t="shared" si="51"/>
        <v>#REF!</v>
      </c>
      <c r="CJ33" s="48" t="str">
        <f t="shared" si="52"/>
        <v>#REF!</v>
      </c>
      <c r="CK33" s="48" t="str">
        <f t="shared" si="53"/>
        <v>#REF!</v>
      </c>
      <c r="CL33" s="48" t="str">
        <f t="shared" si="54"/>
        <v>#REF!</v>
      </c>
      <c r="CM33" s="47" t="str">
        <f t="shared" si="55"/>
        <v>#REF!</v>
      </c>
      <c r="CN33" s="47" t="str">
        <f t="shared" si="56"/>
        <v>#REF!</v>
      </c>
      <c r="CO33" s="47" t="str">
        <f t="shared" si="57"/>
        <v>#REF!</v>
      </c>
      <c r="CP33" s="47" t="str">
        <f t="shared" si="58"/>
        <v>#REF!</v>
      </c>
      <c r="CQ33" s="48"/>
      <c r="CR33" s="47" t="str">
        <f t="shared" ref="CR33:CU33" si="255">(M33-BY33)/M33</f>
        <v>#REF!</v>
      </c>
      <c r="CS33" s="47" t="str">
        <f t="shared" si="255"/>
        <v>#REF!</v>
      </c>
      <c r="CT33" s="47" t="str">
        <f t="shared" si="255"/>
        <v>#REF!</v>
      </c>
      <c r="CU33" s="47" t="str">
        <f t="shared" si="255"/>
        <v>#REF!</v>
      </c>
      <c r="CV33" s="48"/>
      <c r="CW33" s="47" t="str">
        <f t="shared" si="60"/>
        <v>#REF!</v>
      </c>
      <c r="CX33" s="47" t="str">
        <f t="shared" ref="CX33:CY33" si="256">(R33-CI33)/R33</f>
        <v>#REF!</v>
      </c>
      <c r="CY33" s="47" t="str">
        <f t="shared" si="256"/>
        <v>#REF!</v>
      </c>
      <c r="CZ33" s="47" t="str">
        <f t="shared" ref="CZ33:DA33" si="257">(T33-CD33)/T33</f>
        <v>#REF!</v>
      </c>
      <c r="DA33" s="47" t="str">
        <f t="shared" si="257"/>
        <v>#REF!</v>
      </c>
      <c r="DB33" s="48"/>
      <c r="DC33" s="47" t="str">
        <f t="shared" ref="DC33:DE33" si="258">MAX(0,CN33)*$DB33</f>
        <v>#REF!</v>
      </c>
      <c r="DD33" s="47" t="str">
        <f t="shared" si="258"/>
        <v>#REF!</v>
      </c>
      <c r="DE33" s="47" t="str">
        <f t="shared" si="258"/>
        <v>#REF!</v>
      </c>
      <c r="DF33" s="47" t="str">
        <f t="shared" ref="DF33:DI33" si="259">MAX(0,CR33)*$DB33</f>
        <v>#REF!</v>
      </c>
      <c r="DG33" s="47" t="str">
        <f t="shared" si="259"/>
        <v>#REF!</v>
      </c>
      <c r="DH33" s="47" t="str">
        <f t="shared" si="259"/>
        <v>#REF!</v>
      </c>
      <c r="DI33" s="47" t="str">
        <f t="shared" si="259"/>
        <v>#REF!</v>
      </c>
      <c r="DJ33" s="47" t="str">
        <f t="shared" ref="DJ33:DN33" si="260">MAX(0,CW33)*$DB33</f>
        <v>#REF!</v>
      </c>
      <c r="DK33" s="47" t="str">
        <f t="shared" si="260"/>
        <v>#REF!</v>
      </c>
      <c r="DL33" s="47" t="str">
        <f t="shared" si="260"/>
        <v>#REF!</v>
      </c>
      <c r="DM33" s="47" t="str">
        <f t="shared" si="260"/>
        <v>#REF!</v>
      </c>
      <c r="DN33" s="47" t="str">
        <f t="shared" si="260"/>
        <v>#REF!</v>
      </c>
      <c r="DO33" s="45"/>
      <c r="DP33" s="45"/>
      <c r="DQ33" s="45"/>
      <c r="DR33" s="45"/>
      <c r="DS33" s="45"/>
      <c r="DT33" s="45"/>
      <c r="DU33" s="45"/>
      <c r="DV33" s="55">
        <f t="shared" si="66"/>
        <v>0</v>
      </c>
      <c r="DW33" s="56"/>
      <c r="DX33" s="67"/>
    </row>
    <row r="34" ht="14.25" customHeight="1">
      <c r="A34" s="34" t="s">
        <v>33</v>
      </c>
      <c r="B34" s="68"/>
      <c r="C34" s="59" t="str">
        <f t="shared" si="211"/>
        <v/>
      </c>
      <c r="D34" s="59" t="str">
        <f t="shared" si="212"/>
        <v/>
      </c>
      <c r="E34" s="60" t="str">
        <f t="shared" si="213"/>
        <v/>
      </c>
      <c r="F34" s="61">
        <f>MAX((B34-I5)/365,0)</f>
        <v>0</v>
      </c>
      <c r="G34" s="59" t="str">
        <f t="shared" si="214"/>
        <v/>
      </c>
      <c r="H34" s="59" t="str">
        <f t="shared" si="215"/>
        <v/>
      </c>
      <c r="I34" s="62"/>
      <c r="J34" s="43"/>
      <c r="K34" s="43"/>
      <c r="L34" s="43"/>
      <c r="M34" s="43"/>
      <c r="N34" s="43"/>
      <c r="O34" s="43"/>
      <c r="P34" s="63"/>
      <c r="Q34" s="63"/>
      <c r="R34" s="43"/>
      <c r="S34" s="43"/>
      <c r="T34" s="43"/>
      <c r="U34" s="43"/>
      <c r="V34" s="43">
        <f t="shared" si="10"/>
        <v>0</v>
      </c>
      <c r="W34" s="45" t="str">
        <f t="shared" si="11"/>
        <v>#DIV/0!</v>
      </c>
      <c r="X34" s="45" t="str">
        <f t="shared" si="12"/>
        <v>#DIV/0!</v>
      </c>
      <c r="Y34" s="43">
        <f t="shared" si="13"/>
        <v>0</v>
      </c>
      <c r="Z34" s="43">
        <f t="shared" si="14"/>
        <v>0</v>
      </c>
      <c r="AA34" s="43">
        <f t="shared" si="15"/>
        <v>0</v>
      </c>
      <c r="AB34" s="43">
        <f t="shared" si="16"/>
        <v>0</v>
      </c>
      <c r="AC34" s="43">
        <f t="shared" si="17"/>
        <v>0</v>
      </c>
      <c r="AD34" s="43">
        <f t="shared" si="18"/>
        <v>0</v>
      </c>
      <c r="AE34" s="44"/>
      <c r="AF34" s="45" t="str">
        <f t="shared" si="19"/>
        <v>#DIV/0!</v>
      </c>
      <c r="AG34" s="45" t="str">
        <f t="shared" si="20"/>
        <v>#DIV/0!</v>
      </c>
      <c r="AH34" s="45" t="str">
        <f t="shared" si="21"/>
        <v>#DIV/0!</v>
      </c>
      <c r="AI34" s="45" t="str">
        <f t="shared" si="22"/>
        <v>#DIV/0!</v>
      </c>
      <c r="AJ34" s="45" t="str">
        <f t="shared" si="23"/>
        <v>#DIV/0!</v>
      </c>
      <c r="AK34" s="44"/>
      <c r="AL34" s="45" t="str">
        <f t="shared" si="24"/>
        <v>#DIV/0!</v>
      </c>
      <c r="AM34" s="70" t="str">
        <f t="shared" si="25"/>
        <v>#DIV/0!</v>
      </c>
      <c r="AN34" s="47" t="str">
        <f t="shared" si="26"/>
        <v>#NUM!</v>
      </c>
      <c r="AO34" s="47" t="str">
        <f t="shared" si="27"/>
        <v>#NUM!</v>
      </c>
      <c r="AP34" s="48">
        <f t="shared" si="28"/>
        <v>0.465</v>
      </c>
      <c r="AQ34" s="47" t="str">
        <f t="shared" si="29"/>
        <v>#DIV/0!</v>
      </c>
      <c r="AR34" s="47" t="str">
        <f t="shared" si="30"/>
        <v>#DIV/0!</v>
      </c>
      <c r="AS34" s="48"/>
      <c r="AT34" s="47" t="str">
        <f t="shared" si="31"/>
        <v>#DIV/0!</v>
      </c>
      <c r="AU34" s="71" t="str">
        <f t="shared" si="32"/>
        <v/>
      </c>
      <c r="AV34" s="47">
        <f t="shared" si="33"/>
        <v>-15</v>
      </c>
      <c r="AW34" s="48" t="str">
        <f t="shared" si="34"/>
        <v/>
      </c>
      <c r="AX34" s="47" t="str">
        <f t="shared" si="35"/>
        <v>#DIV/0!</v>
      </c>
      <c r="AY34" s="47">
        <f t="shared" si="36"/>
        <v>0.4375</v>
      </c>
      <c r="AZ34" s="47">
        <f t="shared" si="37"/>
        <v>0.6956521739</v>
      </c>
      <c r="BA34" s="52"/>
      <c r="BB34" s="48"/>
      <c r="BC34" s="48"/>
      <c r="BD34" s="47" t="str">
        <f t="shared" si="38"/>
        <v>#DIV/0!</v>
      </c>
      <c r="BE34" s="47" t="str">
        <f t="shared" si="39"/>
        <v>#DIV/0!</v>
      </c>
      <c r="BF34" s="48" t="str">
        <f t="shared" ref="BF34:BK34" si="261">L34</f>
        <v/>
      </c>
      <c r="BG34" s="48" t="str">
        <f t="shared" si="261"/>
        <v/>
      </c>
      <c r="BH34" s="48" t="str">
        <f t="shared" si="261"/>
        <v/>
      </c>
      <c r="BI34" s="48" t="str">
        <f t="shared" si="261"/>
        <v/>
      </c>
      <c r="BJ34" s="48" t="str">
        <f t="shared" si="261"/>
        <v/>
      </c>
      <c r="BK34" s="48" t="str">
        <f t="shared" si="261"/>
        <v/>
      </c>
      <c r="BL34" s="48" t="str">
        <f t="shared" si="41"/>
        <v/>
      </c>
      <c r="BM34" s="48">
        <f t="shared" si="42"/>
        <v>0</v>
      </c>
      <c r="BN34" s="48">
        <f t="shared" si="43"/>
        <v>0</v>
      </c>
      <c r="BO34" s="48">
        <f t="shared" si="44"/>
        <v>0</v>
      </c>
      <c r="BP34" s="47" t="str">
        <f t="shared" si="45"/>
        <v>#DIV/0!</v>
      </c>
      <c r="BQ34" s="54"/>
      <c r="BR34" s="54"/>
      <c r="BS34" s="54"/>
      <c r="BT34" s="47" t="str">
        <f t="shared" si="46"/>
        <v>#NUM!</v>
      </c>
      <c r="BU34" s="48"/>
      <c r="BV34" s="48">
        <f t="shared" si="47"/>
        <v>3</v>
      </c>
      <c r="BW34" s="48" t="str">
        <f t="shared" ref="BW34:CA34" si="262">MAX(($BU34*BW$58)+BW$59,2)</f>
        <v>#REF!</v>
      </c>
      <c r="BX34" s="48" t="str">
        <f t="shared" si="262"/>
        <v>#REF!</v>
      </c>
      <c r="BY34" s="48" t="str">
        <f t="shared" si="262"/>
        <v>#REF!</v>
      </c>
      <c r="BZ34" s="48" t="str">
        <f t="shared" si="262"/>
        <v>#REF!</v>
      </c>
      <c r="CA34" s="48" t="str">
        <f t="shared" si="262"/>
        <v>#REF!</v>
      </c>
      <c r="CB34" s="48" t="str">
        <f t="shared" si="49"/>
        <v>#REF!</v>
      </c>
      <c r="CC34" s="48" t="str">
        <f t="shared" ref="CC34:CH34" si="263">MAX(($BU34*CC$58)+CC$59,2)</f>
        <v>#REF!</v>
      </c>
      <c r="CD34" s="48" t="str">
        <f t="shared" si="263"/>
        <v>#REF!</v>
      </c>
      <c r="CE34" s="48" t="str">
        <f t="shared" si="263"/>
        <v>#REF!</v>
      </c>
      <c r="CF34" s="48" t="str">
        <f t="shared" si="263"/>
        <v>#REF!</v>
      </c>
      <c r="CG34" s="48" t="str">
        <f t="shared" si="263"/>
        <v>#REF!</v>
      </c>
      <c r="CH34" s="48" t="str">
        <f t="shared" si="263"/>
        <v>#REF!</v>
      </c>
      <c r="CI34" s="48" t="str">
        <f t="shared" si="51"/>
        <v>#REF!</v>
      </c>
      <c r="CJ34" s="48" t="str">
        <f t="shared" si="52"/>
        <v>#REF!</v>
      </c>
      <c r="CK34" s="48" t="str">
        <f t="shared" si="53"/>
        <v>#REF!</v>
      </c>
      <c r="CL34" s="48" t="str">
        <f t="shared" si="54"/>
        <v>#REF!</v>
      </c>
      <c r="CM34" s="47" t="str">
        <f t="shared" si="55"/>
        <v>#REF!</v>
      </c>
      <c r="CN34" s="47" t="str">
        <f t="shared" si="56"/>
        <v>#REF!</v>
      </c>
      <c r="CO34" s="47" t="str">
        <f t="shared" si="57"/>
        <v>#REF!</v>
      </c>
      <c r="CP34" s="47" t="str">
        <f t="shared" si="58"/>
        <v>#REF!</v>
      </c>
      <c r="CQ34" s="48"/>
      <c r="CR34" s="47" t="str">
        <f t="shared" ref="CR34:CU34" si="264">(M34-BY34)/M34</f>
        <v>#REF!</v>
      </c>
      <c r="CS34" s="47" t="str">
        <f t="shared" si="264"/>
        <v>#REF!</v>
      </c>
      <c r="CT34" s="47" t="str">
        <f t="shared" si="264"/>
        <v>#REF!</v>
      </c>
      <c r="CU34" s="47" t="str">
        <f t="shared" si="264"/>
        <v>#REF!</v>
      </c>
      <c r="CV34" s="48"/>
      <c r="CW34" s="47" t="str">
        <f t="shared" si="60"/>
        <v>#REF!</v>
      </c>
      <c r="CX34" s="47" t="str">
        <f t="shared" ref="CX34:CY34" si="265">(R34-CI34)/R34</f>
        <v>#REF!</v>
      </c>
      <c r="CY34" s="47" t="str">
        <f t="shared" si="265"/>
        <v>#REF!</v>
      </c>
      <c r="CZ34" s="47" t="str">
        <f t="shared" ref="CZ34:DA34" si="266">(T34-CD34)/T34</f>
        <v>#REF!</v>
      </c>
      <c r="DA34" s="47" t="str">
        <f t="shared" si="266"/>
        <v>#REF!</v>
      </c>
      <c r="DB34" s="48"/>
      <c r="DC34" s="47" t="str">
        <f t="shared" ref="DC34:DE34" si="267">MAX(0,CN34)*$DB34</f>
        <v>#REF!</v>
      </c>
      <c r="DD34" s="47" t="str">
        <f t="shared" si="267"/>
        <v>#REF!</v>
      </c>
      <c r="DE34" s="47" t="str">
        <f t="shared" si="267"/>
        <v>#REF!</v>
      </c>
      <c r="DF34" s="47" t="str">
        <f t="shared" ref="DF34:DI34" si="268">MAX(0,CR34)*$DB34</f>
        <v>#REF!</v>
      </c>
      <c r="DG34" s="47" t="str">
        <f t="shared" si="268"/>
        <v>#REF!</v>
      </c>
      <c r="DH34" s="47" t="str">
        <f t="shared" si="268"/>
        <v>#REF!</v>
      </c>
      <c r="DI34" s="47" t="str">
        <f t="shared" si="268"/>
        <v>#REF!</v>
      </c>
      <c r="DJ34" s="47" t="str">
        <f t="shared" ref="DJ34:DN34" si="269">MAX(0,CW34)*$DB34</f>
        <v>#REF!</v>
      </c>
      <c r="DK34" s="47" t="str">
        <f t="shared" si="269"/>
        <v>#REF!</v>
      </c>
      <c r="DL34" s="47" t="str">
        <f t="shared" si="269"/>
        <v>#REF!</v>
      </c>
      <c r="DM34" s="47" t="str">
        <f t="shared" si="269"/>
        <v>#REF!</v>
      </c>
      <c r="DN34" s="47" t="str">
        <f t="shared" si="269"/>
        <v>#REF!</v>
      </c>
      <c r="DO34" s="45"/>
      <c r="DP34" s="45"/>
      <c r="DQ34" s="45"/>
      <c r="DR34" s="45"/>
      <c r="DS34" s="45"/>
      <c r="DT34" s="45"/>
      <c r="DU34" s="45"/>
      <c r="DV34" s="66">
        <f t="shared" si="66"/>
        <v>0</v>
      </c>
      <c r="DW34" s="56"/>
      <c r="DX34" s="67"/>
    </row>
    <row r="35" ht="14.25" customHeight="1">
      <c r="A35" s="34" t="s">
        <v>33</v>
      </c>
      <c r="B35" s="68"/>
      <c r="C35" s="59" t="str">
        <f t="shared" si="211"/>
        <v/>
      </c>
      <c r="D35" s="59" t="str">
        <f t="shared" si="212"/>
        <v/>
      </c>
      <c r="E35" s="60" t="str">
        <f t="shared" si="213"/>
        <v/>
      </c>
      <c r="F35" s="72">
        <f t="shared" ref="F35:F60" si="279">MAX((B35-E35)/365,0)</f>
        <v>0</v>
      </c>
      <c r="G35" s="59" t="str">
        <f t="shared" si="214"/>
        <v/>
      </c>
      <c r="H35" s="59" t="str">
        <f t="shared" si="215"/>
        <v/>
      </c>
      <c r="I35" s="62"/>
      <c r="J35" s="43"/>
      <c r="K35" s="43"/>
      <c r="L35" s="43"/>
      <c r="M35" s="43"/>
      <c r="N35" s="43"/>
      <c r="O35" s="43"/>
      <c r="P35" s="63"/>
      <c r="Q35" s="63"/>
      <c r="R35" s="43"/>
      <c r="S35" s="43"/>
      <c r="T35" s="43"/>
      <c r="U35" s="43"/>
      <c r="V35" s="43">
        <f t="shared" si="10"/>
        <v>0</v>
      </c>
      <c r="W35" s="45" t="str">
        <f t="shared" si="11"/>
        <v>#DIV/0!</v>
      </c>
      <c r="X35" s="45" t="str">
        <f t="shared" si="12"/>
        <v>#DIV/0!</v>
      </c>
      <c r="Y35" s="43">
        <f t="shared" si="13"/>
        <v>0</v>
      </c>
      <c r="Z35" s="43">
        <f t="shared" si="14"/>
        <v>0</v>
      </c>
      <c r="AA35" s="43">
        <f t="shared" si="15"/>
        <v>0</v>
      </c>
      <c r="AB35" s="43">
        <f t="shared" si="16"/>
        <v>0</v>
      </c>
      <c r="AC35" s="43">
        <f t="shared" si="17"/>
        <v>0</v>
      </c>
      <c r="AD35" s="43">
        <f t="shared" si="18"/>
        <v>0</v>
      </c>
      <c r="AE35" s="44"/>
      <c r="AF35" s="45" t="str">
        <f t="shared" si="19"/>
        <v>#DIV/0!</v>
      </c>
      <c r="AG35" s="45" t="str">
        <f t="shared" si="20"/>
        <v>#DIV/0!</v>
      </c>
      <c r="AH35" s="45" t="str">
        <f t="shared" si="21"/>
        <v>#DIV/0!</v>
      </c>
      <c r="AI35" s="45" t="str">
        <f t="shared" si="22"/>
        <v>#DIV/0!</v>
      </c>
      <c r="AJ35" s="45" t="str">
        <f t="shared" si="23"/>
        <v>#DIV/0!</v>
      </c>
      <c r="AK35" s="44"/>
      <c r="AL35" s="45" t="str">
        <f t="shared" si="24"/>
        <v>#DIV/0!</v>
      </c>
      <c r="AM35" s="70" t="str">
        <f t="shared" si="25"/>
        <v>#DIV/0!</v>
      </c>
      <c r="AN35" s="47" t="str">
        <f t="shared" si="26"/>
        <v>#NUM!</v>
      </c>
      <c r="AO35" s="47" t="str">
        <f t="shared" si="27"/>
        <v>#NUM!</v>
      </c>
      <c r="AP35" s="73">
        <f t="shared" si="28"/>
        <v>0.465</v>
      </c>
      <c r="AQ35" s="47" t="str">
        <f t="shared" si="29"/>
        <v>#DIV/0!</v>
      </c>
      <c r="AR35" s="47" t="str">
        <f t="shared" si="30"/>
        <v>#DIV/0!</v>
      </c>
      <c r="AS35" s="48"/>
      <c r="AT35" s="47" t="str">
        <f t="shared" si="31"/>
        <v>#DIV/0!</v>
      </c>
      <c r="AU35" s="71" t="str">
        <f t="shared" si="32"/>
        <v/>
      </c>
      <c r="AV35" s="47">
        <f t="shared" si="33"/>
        <v>-15</v>
      </c>
      <c r="AW35" s="48" t="str">
        <f t="shared" si="34"/>
        <v/>
      </c>
      <c r="AX35" s="47" t="str">
        <f t="shared" si="35"/>
        <v>#DIV/0!</v>
      </c>
      <c r="AY35" s="47">
        <f t="shared" si="36"/>
        <v>0.4375</v>
      </c>
      <c r="AZ35" s="47">
        <f t="shared" si="37"/>
        <v>0.6956521739</v>
      </c>
      <c r="BA35" s="52"/>
      <c r="BB35" s="48"/>
      <c r="BC35" s="48"/>
      <c r="BD35" s="47" t="str">
        <f t="shared" si="38"/>
        <v>#DIV/0!</v>
      </c>
      <c r="BE35" s="47" t="str">
        <f t="shared" si="39"/>
        <v>#DIV/0!</v>
      </c>
      <c r="BF35" s="48" t="str">
        <f t="shared" ref="BF35:BK35" si="270">L35</f>
        <v/>
      </c>
      <c r="BG35" s="48" t="str">
        <f t="shared" si="270"/>
        <v/>
      </c>
      <c r="BH35" s="48" t="str">
        <f t="shared" si="270"/>
        <v/>
      </c>
      <c r="BI35" s="48" t="str">
        <f t="shared" si="270"/>
        <v/>
      </c>
      <c r="BJ35" s="48" t="str">
        <f t="shared" si="270"/>
        <v/>
      </c>
      <c r="BK35" s="48" t="str">
        <f t="shared" si="270"/>
        <v/>
      </c>
      <c r="BL35" s="48" t="str">
        <f t="shared" si="41"/>
        <v/>
      </c>
      <c r="BM35" s="48">
        <f t="shared" si="42"/>
        <v>0</v>
      </c>
      <c r="BN35" s="48">
        <f t="shared" si="43"/>
        <v>0</v>
      </c>
      <c r="BO35" s="48">
        <f t="shared" si="44"/>
        <v>0</v>
      </c>
      <c r="BP35" s="47" t="str">
        <f t="shared" si="45"/>
        <v>#DIV/0!</v>
      </c>
      <c r="BQ35" s="54"/>
      <c r="BR35" s="54"/>
      <c r="BS35" s="54"/>
      <c r="BT35" s="47" t="str">
        <f t="shared" si="46"/>
        <v>#NUM!</v>
      </c>
      <c r="BU35" s="48"/>
      <c r="BV35" s="48">
        <f t="shared" si="47"/>
        <v>3</v>
      </c>
      <c r="BW35" s="48" t="str">
        <f t="shared" ref="BW35:CA35" si="271">MAX(($BU35*BW$58)+BW$59,2)</f>
        <v>#REF!</v>
      </c>
      <c r="BX35" s="48" t="str">
        <f t="shared" si="271"/>
        <v>#REF!</v>
      </c>
      <c r="BY35" s="48" t="str">
        <f t="shared" si="271"/>
        <v>#REF!</v>
      </c>
      <c r="BZ35" s="48" t="str">
        <f t="shared" si="271"/>
        <v>#REF!</v>
      </c>
      <c r="CA35" s="48" t="str">
        <f t="shared" si="271"/>
        <v>#REF!</v>
      </c>
      <c r="CB35" s="48" t="str">
        <f t="shared" si="49"/>
        <v>#REF!</v>
      </c>
      <c r="CC35" s="48" t="str">
        <f t="shared" ref="CC35:CH35" si="272">MAX(($BU35*CC$58)+CC$59,2)</f>
        <v>#REF!</v>
      </c>
      <c r="CD35" s="48" t="str">
        <f t="shared" si="272"/>
        <v>#REF!</v>
      </c>
      <c r="CE35" s="48" t="str">
        <f t="shared" si="272"/>
        <v>#REF!</v>
      </c>
      <c r="CF35" s="48" t="str">
        <f t="shared" si="272"/>
        <v>#REF!</v>
      </c>
      <c r="CG35" s="48" t="str">
        <f t="shared" si="272"/>
        <v>#REF!</v>
      </c>
      <c r="CH35" s="48" t="str">
        <f t="shared" si="272"/>
        <v>#REF!</v>
      </c>
      <c r="CI35" s="48" t="str">
        <f t="shared" si="51"/>
        <v>#REF!</v>
      </c>
      <c r="CJ35" s="48" t="str">
        <f t="shared" si="52"/>
        <v>#REF!</v>
      </c>
      <c r="CK35" s="48" t="str">
        <f t="shared" si="53"/>
        <v>#REF!</v>
      </c>
      <c r="CL35" s="48" t="str">
        <f t="shared" si="54"/>
        <v>#REF!</v>
      </c>
      <c r="CM35" s="47" t="str">
        <f t="shared" si="55"/>
        <v>#REF!</v>
      </c>
      <c r="CN35" s="47" t="str">
        <f t="shared" si="56"/>
        <v>#REF!</v>
      </c>
      <c r="CO35" s="47" t="str">
        <f t="shared" si="57"/>
        <v>#REF!</v>
      </c>
      <c r="CP35" s="47" t="str">
        <f t="shared" si="58"/>
        <v>#REF!</v>
      </c>
      <c r="CQ35" s="48"/>
      <c r="CR35" s="47" t="str">
        <f t="shared" ref="CR35:CU35" si="273">(M35-BY35)/M35</f>
        <v>#REF!</v>
      </c>
      <c r="CS35" s="47" t="str">
        <f t="shared" si="273"/>
        <v>#REF!</v>
      </c>
      <c r="CT35" s="47" t="str">
        <f t="shared" si="273"/>
        <v>#REF!</v>
      </c>
      <c r="CU35" s="47" t="str">
        <f t="shared" si="273"/>
        <v>#REF!</v>
      </c>
      <c r="CV35" s="48"/>
      <c r="CW35" s="47" t="str">
        <f t="shared" si="60"/>
        <v>#REF!</v>
      </c>
      <c r="CX35" s="47" t="str">
        <f t="shared" ref="CX35:CY35" si="274">(R35-CI35)/R35</f>
        <v>#REF!</v>
      </c>
      <c r="CY35" s="47" t="str">
        <f t="shared" si="274"/>
        <v>#REF!</v>
      </c>
      <c r="CZ35" s="47" t="str">
        <f t="shared" ref="CZ35:DA35" si="275">(T35-CD35)/T35</f>
        <v>#REF!</v>
      </c>
      <c r="DA35" s="47" t="str">
        <f t="shared" si="275"/>
        <v>#REF!</v>
      </c>
      <c r="DB35" s="48"/>
      <c r="DC35" s="47" t="str">
        <f t="shared" ref="DC35:DE35" si="276">MAX(0,CN35)*$DB35</f>
        <v>#REF!</v>
      </c>
      <c r="DD35" s="47" t="str">
        <f t="shared" si="276"/>
        <v>#REF!</v>
      </c>
      <c r="DE35" s="47" t="str">
        <f t="shared" si="276"/>
        <v>#REF!</v>
      </c>
      <c r="DF35" s="47" t="str">
        <f t="shared" ref="DF35:DI35" si="277">MAX(0,CR35)*$DB35</f>
        <v>#REF!</v>
      </c>
      <c r="DG35" s="47" t="str">
        <f t="shared" si="277"/>
        <v>#REF!</v>
      </c>
      <c r="DH35" s="47" t="str">
        <f t="shared" si="277"/>
        <v>#REF!</v>
      </c>
      <c r="DI35" s="47" t="str">
        <f t="shared" si="277"/>
        <v>#REF!</v>
      </c>
      <c r="DJ35" s="47" t="str">
        <f t="shared" ref="DJ35:DN35" si="278">MAX(0,CW35)*$DB35</f>
        <v>#REF!</v>
      </c>
      <c r="DK35" s="47" t="str">
        <f t="shared" si="278"/>
        <v>#REF!</v>
      </c>
      <c r="DL35" s="47" t="str">
        <f t="shared" si="278"/>
        <v>#REF!</v>
      </c>
      <c r="DM35" s="47" t="str">
        <f t="shared" si="278"/>
        <v>#REF!</v>
      </c>
      <c r="DN35" s="47" t="str">
        <f t="shared" si="278"/>
        <v>#REF!</v>
      </c>
      <c r="DO35" s="45"/>
      <c r="DP35" s="45"/>
      <c r="DQ35" s="45"/>
      <c r="DR35" s="45"/>
      <c r="DS35" s="45"/>
      <c r="DT35" s="45"/>
      <c r="DU35" s="45"/>
      <c r="DV35" s="55">
        <f t="shared" si="66"/>
        <v>0</v>
      </c>
      <c r="DW35" s="56"/>
      <c r="DX35" s="67"/>
    </row>
    <row r="36" ht="14.25" customHeight="1">
      <c r="A36" s="34" t="s">
        <v>33</v>
      </c>
      <c r="B36" s="68"/>
      <c r="C36" s="59" t="str">
        <f t="shared" si="211"/>
        <v/>
      </c>
      <c r="D36" s="59" t="str">
        <f t="shared" si="212"/>
        <v/>
      </c>
      <c r="E36" s="60" t="str">
        <f t="shared" si="213"/>
        <v/>
      </c>
      <c r="F36" s="72">
        <f t="shared" si="279"/>
        <v>0</v>
      </c>
      <c r="G36" s="59" t="str">
        <f t="shared" si="214"/>
        <v/>
      </c>
      <c r="H36" s="59" t="str">
        <f t="shared" si="215"/>
        <v/>
      </c>
      <c r="I36" s="62"/>
      <c r="J36" s="43"/>
      <c r="K36" s="43"/>
      <c r="L36" s="43"/>
      <c r="M36" s="43"/>
      <c r="N36" s="43"/>
      <c r="O36" s="43"/>
      <c r="P36" s="63"/>
      <c r="Q36" s="63"/>
      <c r="R36" s="43"/>
      <c r="S36" s="43"/>
      <c r="T36" s="43"/>
      <c r="U36" s="43"/>
      <c r="V36" s="43">
        <f t="shared" si="10"/>
        <v>0</v>
      </c>
      <c r="W36" s="45" t="str">
        <f t="shared" si="11"/>
        <v>#DIV/0!</v>
      </c>
      <c r="X36" s="45" t="str">
        <f t="shared" si="12"/>
        <v>#DIV/0!</v>
      </c>
      <c r="Y36" s="43">
        <f t="shared" si="13"/>
        <v>0</v>
      </c>
      <c r="Z36" s="43">
        <f t="shared" si="14"/>
        <v>0</v>
      </c>
      <c r="AA36" s="43">
        <f t="shared" si="15"/>
        <v>0</v>
      </c>
      <c r="AB36" s="43">
        <f t="shared" si="16"/>
        <v>0</v>
      </c>
      <c r="AC36" s="43">
        <f t="shared" si="17"/>
        <v>0</v>
      </c>
      <c r="AD36" s="43">
        <f t="shared" si="18"/>
        <v>0</v>
      </c>
      <c r="AE36" s="44"/>
      <c r="AF36" s="45" t="str">
        <f t="shared" si="19"/>
        <v>#DIV/0!</v>
      </c>
      <c r="AG36" s="45" t="str">
        <f t="shared" si="20"/>
        <v>#DIV/0!</v>
      </c>
      <c r="AH36" s="45" t="str">
        <f t="shared" si="21"/>
        <v>#DIV/0!</v>
      </c>
      <c r="AI36" s="45" t="str">
        <f t="shared" si="22"/>
        <v>#DIV/0!</v>
      </c>
      <c r="AJ36" s="45" t="str">
        <f t="shared" si="23"/>
        <v>#DIV/0!</v>
      </c>
      <c r="AK36" s="44"/>
      <c r="AL36" s="45" t="str">
        <f t="shared" si="24"/>
        <v>#DIV/0!</v>
      </c>
      <c r="AM36" s="70" t="str">
        <f t="shared" si="25"/>
        <v>#DIV/0!</v>
      </c>
      <c r="AN36" s="47" t="str">
        <f t="shared" si="26"/>
        <v>#NUM!</v>
      </c>
      <c r="AO36" s="47" t="str">
        <f t="shared" si="27"/>
        <v>#NUM!</v>
      </c>
      <c r="AP36" s="73">
        <f t="shared" si="28"/>
        <v>0.465</v>
      </c>
      <c r="AQ36" s="47" t="str">
        <f t="shared" si="29"/>
        <v>#DIV/0!</v>
      </c>
      <c r="AR36" s="47" t="str">
        <f t="shared" si="30"/>
        <v>#DIV/0!</v>
      </c>
      <c r="AS36" s="48"/>
      <c r="AT36" s="47" t="str">
        <f t="shared" si="31"/>
        <v>#DIV/0!</v>
      </c>
      <c r="AU36" s="71" t="str">
        <f t="shared" si="32"/>
        <v/>
      </c>
      <c r="AV36" s="47">
        <f t="shared" si="33"/>
        <v>-15</v>
      </c>
      <c r="AW36" s="48" t="str">
        <f t="shared" si="34"/>
        <v/>
      </c>
      <c r="AX36" s="47" t="str">
        <f t="shared" si="35"/>
        <v>#DIV/0!</v>
      </c>
      <c r="AY36" s="47">
        <f t="shared" si="36"/>
        <v>0.4375</v>
      </c>
      <c r="AZ36" s="47">
        <f t="shared" si="37"/>
        <v>0.6956521739</v>
      </c>
      <c r="BA36" s="52"/>
      <c r="BB36" s="48"/>
      <c r="BC36" s="48"/>
      <c r="BD36" s="47" t="str">
        <f t="shared" si="38"/>
        <v>#DIV/0!</v>
      </c>
      <c r="BE36" s="47" t="str">
        <f t="shared" si="39"/>
        <v>#DIV/0!</v>
      </c>
      <c r="BF36" s="48" t="str">
        <f t="shared" ref="BF36:BK36" si="280">L36</f>
        <v/>
      </c>
      <c r="BG36" s="48" t="str">
        <f t="shared" si="280"/>
        <v/>
      </c>
      <c r="BH36" s="48" t="str">
        <f t="shared" si="280"/>
        <v/>
      </c>
      <c r="BI36" s="48" t="str">
        <f t="shared" si="280"/>
        <v/>
      </c>
      <c r="BJ36" s="48" t="str">
        <f t="shared" si="280"/>
        <v/>
      </c>
      <c r="BK36" s="48" t="str">
        <f t="shared" si="280"/>
        <v/>
      </c>
      <c r="BL36" s="48" t="str">
        <f t="shared" si="41"/>
        <v/>
      </c>
      <c r="BM36" s="48">
        <f t="shared" si="42"/>
        <v>0</v>
      </c>
      <c r="BN36" s="48">
        <f t="shared" si="43"/>
        <v>0</v>
      </c>
      <c r="BO36" s="48">
        <f t="shared" si="44"/>
        <v>0</v>
      </c>
      <c r="BP36" s="47" t="str">
        <f t="shared" si="45"/>
        <v>#DIV/0!</v>
      </c>
      <c r="BQ36" s="54"/>
      <c r="BR36" s="54"/>
      <c r="BS36" s="54"/>
      <c r="BT36" s="47" t="str">
        <f t="shared" si="46"/>
        <v>#NUM!</v>
      </c>
      <c r="BU36" s="48"/>
      <c r="BV36" s="48">
        <f t="shared" si="47"/>
        <v>3</v>
      </c>
      <c r="BW36" s="48" t="str">
        <f t="shared" ref="BW36:CA36" si="281">MAX(($BU36*BW$58)+BW$59,2)</f>
        <v>#REF!</v>
      </c>
      <c r="BX36" s="48" t="str">
        <f t="shared" si="281"/>
        <v>#REF!</v>
      </c>
      <c r="BY36" s="48" t="str">
        <f t="shared" si="281"/>
        <v>#REF!</v>
      </c>
      <c r="BZ36" s="48" t="str">
        <f t="shared" si="281"/>
        <v>#REF!</v>
      </c>
      <c r="CA36" s="48" t="str">
        <f t="shared" si="281"/>
        <v>#REF!</v>
      </c>
      <c r="CB36" s="48" t="str">
        <f t="shared" si="49"/>
        <v>#REF!</v>
      </c>
      <c r="CC36" s="48" t="str">
        <f t="shared" ref="CC36:CH36" si="282">MAX(($BU36*CC$58)+CC$59,2)</f>
        <v>#REF!</v>
      </c>
      <c r="CD36" s="48" t="str">
        <f t="shared" si="282"/>
        <v>#REF!</v>
      </c>
      <c r="CE36" s="48" t="str">
        <f t="shared" si="282"/>
        <v>#REF!</v>
      </c>
      <c r="CF36" s="48" t="str">
        <f t="shared" si="282"/>
        <v>#REF!</v>
      </c>
      <c r="CG36" s="48" t="str">
        <f t="shared" si="282"/>
        <v>#REF!</v>
      </c>
      <c r="CH36" s="48" t="str">
        <f t="shared" si="282"/>
        <v>#REF!</v>
      </c>
      <c r="CI36" s="48" t="str">
        <f t="shared" si="51"/>
        <v>#REF!</v>
      </c>
      <c r="CJ36" s="48" t="str">
        <f t="shared" si="52"/>
        <v>#REF!</v>
      </c>
      <c r="CK36" s="48" t="str">
        <f t="shared" si="53"/>
        <v>#REF!</v>
      </c>
      <c r="CL36" s="48" t="str">
        <f t="shared" si="54"/>
        <v>#REF!</v>
      </c>
      <c r="CM36" s="47" t="str">
        <f t="shared" si="55"/>
        <v>#REF!</v>
      </c>
      <c r="CN36" s="47" t="str">
        <f t="shared" si="56"/>
        <v>#REF!</v>
      </c>
      <c r="CO36" s="47" t="str">
        <f t="shared" si="57"/>
        <v>#REF!</v>
      </c>
      <c r="CP36" s="47" t="str">
        <f t="shared" si="58"/>
        <v>#REF!</v>
      </c>
      <c r="CQ36" s="48"/>
      <c r="CR36" s="47" t="str">
        <f t="shared" ref="CR36:CU36" si="283">(M36-BY36)/M36</f>
        <v>#REF!</v>
      </c>
      <c r="CS36" s="47" t="str">
        <f t="shared" si="283"/>
        <v>#REF!</v>
      </c>
      <c r="CT36" s="47" t="str">
        <f t="shared" si="283"/>
        <v>#REF!</v>
      </c>
      <c r="CU36" s="47" t="str">
        <f t="shared" si="283"/>
        <v>#REF!</v>
      </c>
      <c r="CV36" s="48"/>
      <c r="CW36" s="47" t="str">
        <f t="shared" si="60"/>
        <v>#REF!</v>
      </c>
      <c r="CX36" s="47" t="str">
        <f t="shared" ref="CX36:CY36" si="284">(R36-CI36)/R36</f>
        <v>#REF!</v>
      </c>
      <c r="CY36" s="47" t="str">
        <f t="shared" si="284"/>
        <v>#REF!</v>
      </c>
      <c r="CZ36" s="47" t="str">
        <f t="shared" ref="CZ36:DA36" si="285">(T36-CD36)/T36</f>
        <v>#REF!</v>
      </c>
      <c r="DA36" s="47" t="str">
        <f t="shared" si="285"/>
        <v>#REF!</v>
      </c>
      <c r="DB36" s="48"/>
      <c r="DC36" s="47" t="str">
        <f t="shared" ref="DC36:DE36" si="286">MAX(0,CN36)*$DB36</f>
        <v>#REF!</v>
      </c>
      <c r="DD36" s="47" t="str">
        <f t="shared" si="286"/>
        <v>#REF!</v>
      </c>
      <c r="DE36" s="47" t="str">
        <f t="shared" si="286"/>
        <v>#REF!</v>
      </c>
      <c r="DF36" s="47" t="str">
        <f t="shared" ref="DF36:DI36" si="287">MAX(0,CR36)*$DB36</f>
        <v>#REF!</v>
      </c>
      <c r="DG36" s="47" t="str">
        <f t="shared" si="287"/>
        <v>#REF!</v>
      </c>
      <c r="DH36" s="47" t="str">
        <f t="shared" si="287"/>
        <v>#REF!</v>
      </c>
      <c r="DI36" s="47" t="str">
        <f t="shared" si="287"/>
        <v>#REF!</v>
      </c>
      <c r="DJ36" s="47" t="str">
        <f t="shared" ref="DJ36:DN36" si="288">MAX(0,CW36)*$DB36</f>
        <v>#REF!</v>
      </c>
      <c r="DK36" s="47" t="str">
        <f t="shared" si="288"/>
        <v>#REF!</v>
      </c>
      <c r="DL36" s="47" t="str">
        <f t="shared" si="288"/>
        <v>#REF!</v>
      </c>
      <c r="DM36" s="47" t="str">
        <f t="shared" si="288"/>
        <v>#REF!</v>
      </c>
      <c r="DN36" s="47" t="str">
        <f t="shared" si="288"/>
        <v>#REF!</v>
      </c>
      <c r="DO36" s="45"/>
      <c r="DP36" s="45"/>
      <c r="DQ36" s="45"/>
      <c r="DR36" s="45"/>
      <c r="DS36" s="45"/>
      <c r="DT36" s="45"/>
      <c r="DU36" s="45"/>
      <c r="DV36" s="66">
        <f t="shared" si="66"/>
        <v>0</v>
      </c>
      <c r="DW36" s="56"/>
      <c r="DX36" s="67"/>
    </row>
    <row r="37" ht="14.25" customHeight="1">
      <c r="A37" s="34" t="s">
        <v>33</v>
      </c>
      <c r="B37" s="68"/>
      <c r="C37" s="59" t="str">
        <f t="shared" si="211"/>
        <v/>
      </c>
      <c r="D37" s="59" t="str">
        <f t="shared" si="212"/>
        <v/>
      </c>
      <c r="E37" s="60" t="str">
        <f t="shared" si="213"/>
        <v/>
      </c>
      <c r="F37" s="72">
        <f t="shared" si="279"/>
        <v>0</v>
      </c>
      <c r="G37" s="59" t="str">
        <f t="shared" si="214"/>
        <v/>
      </c>
      <c r="H37" s="59" t="str">
        <f t="shared" si="215"/>
        <v/>
      </c>
      <c r="I37" s="62"/>
      <c r="J37" s="43"/>
      <c r="K37" s="43"/>
      <c r="L37" s="43"/>
      <c r="M37" s="43"/>
      <c r="N37" s="43"/>
      <c r="O37" s="43"/>
      <c r="P37" s="63"/>
      <c r="Q37" s="63"/>
      <c r="R37" s="43"/>
      <c r="S37" s="43"/>
      <c r="T37" s="43"/>
      <c r="U37" s="43"/>
      <c r="V37" s="43">
        <f t="shared" si="10"/>
        <v>0</v>
      </c>
      <c r="W37" s="45" t="str">
        <f t="shared" si="11"/>
        <v>#DIV/0!</v>
      </c>
      <c r="X37" s="45" t="str">
        <f t="shared" si="12"/>
        <v>#DIV/0!</v>
      </c>
      <c r="Y37" s="43">
        <f t="shared" si="13"/>
        <v>0</v>
      </c>
      <c r="Z37" s="43">
        <f t="shared" si="14"/>
        <v>0</v>
      </c>
      <c r="AA37" s="43">
        <f t="shared" si="15"/>
        <v>0</v>
      </c>
      <c r="AB37" s="43">
        <f t="shared" si="16"/>
        <v>0</v>
      </c>
      <c r="AC37" s="43">
        <f t="shared" si="17"/>
        <v>0</v>
      </c>
      <c r="AD37" s="43">
        <f t="shared" si="18"/>
        <v>0</v>
      </c>
      <c r="AE37" s="44"/>
      <c r="AF37" s="45" t="str">
        <f t="shared" si="19"/>
        <v>#DIV/0!</v>
      </c>
      <c r="AG37" s="45" t="str">
        <f t="shared" si="20"/>
        <v>#DIV/0!</v>
      </c>
      <c r="AH37" s="45" t="str">
        <f t="shared" si="21"/>
        <v>#DIV/0!</v>
      </c>
      <c r="AI37" s="45" t="str">
        <f t="shared" si="22"/>
        <v>#DIV/0!</v>
      </c>
      <c r="AJ37" s="45" t="str">
        <f t="shared" si="23"/>
        <v>#DIV/0!</v>
      </c>
      <c r="AK37" s="44"/>
      <c r="AL37" s="45" t="str">
        <f t="shared" si="24"/>
        <v>#DIV/0!</v>
      </c>
      <c r="AM37" s="70" t="str">
        <f t="shared" si="25"/>
        <v>#DIV/0!</v>
      </c>
      <c r="AN37" s="47" t="str">
        <f t="shared" si="26"/>
        <v>#NUM!</v>
      </c>
      <c r="AO37" s="47" t="str">
        <f t="shared" si="27"/>
        <v>#NUM!</v>
      </c>
      <c r="AP37" s="73">
        <f t="shared" si="28"/>
        <v>0.465</v>
      </c>
      <c r="AQ37" s="47" t="str">
        <f t="shared" si="29"/>
        <v>#DIV/0!</v>
      </c>
      <c r="AR37" s="47" t="str">
        <f t="shared" si="30"/>
        <v>#DIV/0!</v>
      </c>
      <c r="AS37" s="48"/>
      <c r="AT37" s="47" t="str">
        <f t="shared" si="31"/>
        <v>#DIV/0!</v>
      </c>
      <c r="AU37" s="71" t="str">
        <f t="shared" si="32"/>
        <v/>
      </c>
      <c r="AV37" s="47">
        <f t="shared" si="33"/>
        <v>-15</v>
      </c>
      <c r="AW37" s="48" t="str">
        <f t="shared" si="34"/>
        <v/>
      </c>
      <c r="AX37" s="47" t="str">
        <f t="shared" si="35"/>
        <v>#DIV/0!</v>
      </c>
      <c r="AY37" s="47">
        <f t="shared" si="36"/>
        <v>0.4375</v>
      </c>
      <c r="AZ37" s="47">
        <f t="shared" si="37"/>
        <v>0.6956521739</v>
      </c>
      <c r="BA37" s="52"/>
      <c r="BB37" s="48"/>
      <c r="BC37" s="48"/>
      <c r="BD37" s="47" t="str">
        <f t="shared" si="38"/>
        <v>#DIV/0!</v>
      </c>
      <c r="BE37" s="47" t="str">
        <f t="shared" si="39"/>
        <v>#DIV/0!</v>
      </c>
      <c r="BF37" s="48" t="str">
        <f t="shared" ref="BF37:BK37" si="289">L37</f>
        <v/>
      </c>
      <c r="BG37" s="48" t="str">
        <f t="shared" si="289"/>
        <v/>
      </c>
      <c r="BH37" s="48" t="str">
        <f t="shared" si="289"/>
        <v/>
      </c>
      <c r="BI37" s="48" t="str">
        <f t="shared" si="289"/>
        <v/>
      </c>
      <c r="BJ37" s="48" t="str">
        <f t="shared" si="289"/>
        <v/>
      </c>
      <c r="BK37" s="48" t="str">
        <f t="shared" si="289"/>
        <v/>
      </c>
      <c r="BL37" s="48" t="str">
        <f t="shared" si="41"/>
        <v/>
      </c>
      <c r="BM37" s="48">
        <f t="shared" si="42"/>
        <v>0</v>
      </c>
      <c r="BN37" s="48">
        <f t="shared" si="43"/>
        <v>0</v>
      </c>
      <c r="BO37" s="48">
        <f t="shared" si="44"/>
        <v>0</v>
      </c>
      <c r="BP37" s="47" t="str">
        <f t="shared" si="45"/>
        <v>#DIV/0!</v>
      </c>
      <c r="BQ37" s="54"/>
      <c r="BR37" s="54"/>
      <c r="BS37" s="54"/>
      <c r="BT37" s="47" t="str">
        <f t="shared" si="46"/>
        <v>#NUM!</v>
      </c>
      <c r="BU37" s="48"/>
      <c r="BV37" s="48">
        <f t="shared" si="47"/>
        <v>3</v>
      </c>
      <c r="BW37" s="48" t="str">
        <f t="shared" ref="BW37:CA37" si="290">MAX(($BU37*BW$58)+BW$59,2)</f>
        <v>#REF!</v>
      </c>
      <c r="BX37" s="48" t="str">
        <f t="shared" si="290"/>
        <v>#REF!</v>
      </c>
      <c r="BY37" s="48" t="str">
        <f t="shared" si="290"/>
        <v>#REF!</v>
      </c>
      <c r="BZ37" s="48" t="str">
        <f t="shared" si="290"/>
        <v>#REF!</v>
      </c>
      <c r="CA37" s="48" t="str">
        <f t="shared" si="290"/>
        <v>#REF!</v>
      </c>
      <c r="CB37" s="48" t="str">
        <f t="shared" si="49"/>
        <v>#REF!</v>
      </c>
      <c r="CC37" s="48" t="str">
        <f t="shared" ref="CC37:CH37" si="291">MAX(($BU37*CC$58)+CC$59,2)</f>
        <v>#REF!</v>
      </c>
      <c r="CD37" s="48" t="str">
        <f t="shared" si="291"/>
        <v>#REF!</v>
      </c>
      <c r="CE37" s="48" t="str">
        <f t="shared" si="291"/>
        <v>#REF!</v>
      </c>
      <c r="CF37" s="48" t="str">
        <f t="shared" si="291"/>
        <v>#REF!</v>
      </c>
      <c r="CG37" s="48" t="str">
        <f t="shared" si="291"/>
        <v>#REF!</v>
      </c>
      <c r="CH37" s="48" t="str">
        <f t="shared" si="291"/>
        <v>#REF!</v>
      </c>
      <c r="CI37" s="48" t="str">
        <f t="shared" si="51"/>
        <v>#REF!</v>
      </c>
      <c r="CJ37" s="48" t="str">
        <f t="shared" si="52"/>
        <v>#REF!</v>
      </c>
      <c r="CK37" s="48" t="str">
        <f t="shared" si="53"/>
        <v>#REF!</v>
      </c>
      <c r="CL37" s="48" t="str">
        <f t="shared" si="54"/>
        <v>#REF!</v>
      </c>
      <c r="CM37" s="47" t="str">
        <f t="shared" si="55"/>
        <v>#REF!</v>
      </c>
      <c r="CN37" s="47" t="str">
        <f t="shared" si="56"/>
        <v>#REF!</v>
      </c>
      <c r="CO37" s="47" t="str">
        <f t="shared" si="57"/>
        <v>#REF!</v>
      </c>
      <c r="CP37" s="47" t="str">
        <f t="shared" si="58"/>
        <v>#REF!</v>
      </c>
      <c r="CQ37" s="48"/>
      <c r="CR37" s="47" t="str">
        <f t="shared" ref="CR37:CU37" si="292">(M37-BY37)/M37</f>
        <v>#REF!</v>
      </c>
      <c r="CS37" s="47" t="str">
        <f t="shared" si="292"/>
        <v>#REF!</v>
      </c>
      <c r="CT37" s="47" t="str">
        <f t="shared" si="292"/>
        <v>#REF!</v>
      </c>
      <c r="CU37" s="47" t="str">
        <f t="shared" si="292"/>
        <v>#REF!</v>
      </c>
      <c r="CV37" s="48"/>
      <c r="CW37" s="47" t="str">
        <f t="shared" si="60"/>
        <v>#REF!</v>
      </c>
      <c r="CX37" s="47" t="str">
        <f t="shared" ref="CX37:CY37" si="293">(R37-CI37)/R37</f>
        <v>#REF!</v>
      </c>
      <c r="CY37" s="47" t="str">
        <f t="shared" si="293"/>
        <v>#REF!</v>
      </c>
      <c r="CZ37" s="47" t="str">
        <f t="shared" ref="CZ37:DA37" si="294">(T37-CD37)/T37</f>
        <v>#REF!</v>
      </c>
      <c r="DA37" s="47" t="str">
        <f t="shared" si="294"/>
        <v>#REF!</v>
      </c>
      <c r="DB37" s="48"/>
      <c r="DC37" s="47" t="str">
        <f t="shared" ref="DC37:DE37" si="295">MAX(0,CN37)*$DB37</f>
        <v>#REF!</v>
      </c>
      <c r="DD37" s="47" t="str">
        <f t="shared" si="295"/>
        <v>#REF!</v>
      </c>
      <c r="DE37" s="47" t="str">
        <f t="shared" si="295"/>
        <v>#REF!</v>
      </c>
      <c r="DF37" s="47" t="str">
        <f t="shared" ref="DF37:DI37" si="296">MAX(0,CR37)*$DB37</f>
        <v>#REF!</v>
      </c>
      <c r="DG37" s="47" t="str">
        <f t="shared" si="296"/>
        <v>#REF!</v>
      </c>
      <c r="DH37" s="47" t="str">
        <f t="shared" si="296"/>
        <v>#REF!</v>
      </c>
      <c r="DI37" s="47" t="str">
        <f t="shared" si="296"/>
        <v>#REF!</v>
      </c>
      <c r="DJ37" s="47" t="str">
        <f t="shared" ref="DJ37:DN37" si="297">MAX(0,CW37)*$DB37</f>
        <v>#REF!</v>
      </c>
      <c r="DK37" s="47" t="str">
        <f t="shared" si="297"/>
        <v>#REF!</v>
      </c>
      <c r="DL37" s="47" t="str">
        <f t="shared" si="297"/>
        <v>#REF!</v>
      </c>
      <c r="DM37" s="47" t="str">
        <f t="shared" si="297"/>
        <v>#REF!</v>
      </c>
      <c r="DN37" s="47" t="str">
        <f t="shared" si="297"/>
        <v>#REF!</v>
      </c>
      <c r="DO37" s="45"/>
      <c r="DP37" s="45"/>
      <c r="DQ37" s="45"/>
      <c r="DR37" s="45"/>
      <c r="DS37" s="45"/>
      <c r="DT37" s="45"/>
      <c r="DU37" s="45"/>
      <c r="DV37" s="55">
        <f t="shared" si="66"/>
        <v>0</v>
      </c>
      <c r="DW37" s="56"/>
      <c r="DX37" s="67"/>
    </row>
    <row r="38" ht="14.25" customHeight="1">
      <c r="A38" s="34" t="s">
        <v>33</v>
      </c>
      <c r="B38" s="68"/>
      <c r="C38" s="59" t="str">
        <f t="shared" si="211"/>
        <v/>
      </c>
      <c r="D38" s="59" t="str">
        <f t="shared" si="212"/>
        <v/>
      </c>
      <c r="E38" s="60" t="str">
        <f t="shared" si="213"/>
        <v/>
      </c>
      <c r="F38" s="72">
        <f t="shared" si="279"/>
        <v>0</v>
      </c>
      <c r="G38" s="59" t="str">
        <f t="shared" si="214"/>
        <v/>
      </c>
      <c r="H38" s="59" t="str">
        <f t="shared" si="215"/>
        <v/>
      </c>
      <c r="I38" s="62"/>
      <c r="J38" s="43"/>
      <c r="K38" s="43"/>
      <c r="L38" s="43"/>
      <c r="M38" s="43"/>
      <c r="N38" s="43"/>
      <c r="O38" s="43"/>
      <c r="P38" s="63"/>
      <c r="Q38" s="63"/>
      <c r="R38" s="43"/>
      <c r="S38" s="43"/>
      <c r="T38" s="43"/>
      <c r="U38" s="43"/>
      <c r="V38" s="43">
        <f t="shared" si="10"/>
        <v>0</v>
      </c>
      <c r="W38" s="45" t="str">
        <f t="shared" si="11"/>
        <v>#DIV/0!</v>
      </c>
      <c r="X38" s="45" t="str">
        <f t="shared" si="12"/>
        <v>#DIV/0!</v>
      </c>
      <c r="Y38" s="43">
        <f t="shared" si="13"/>
        <v>0</v>
      </c>
      <c r="Z38" s="43">
        <f t="shared" si="14"/>
        <v>0</v>
      </c>
      <c r="AA38" s="43">
        <f t="shared" si="15"/>
        <v>0</v>
      </c>
      <c r="AB38" s="43">
        <f t="shared" si="16"/>
        <v>0</v>
      </c>
      <c r="AC38" s="43">
        <f t="shared" si="17"/>
        <v>0</v>
      </c>
      <c r="AD38" s="43">
        <f t="shared" si="18"/>
        <v>0</v>
      </c>
      <c r="AE38" s="44"/>
      <c r="AF38" s="45" t="str">
        <f t="shared" si="19"/>
        <v>#DIV/0!</v>
      </c>
      <c r="AG38" s="45" t="str">
        <f t="shared" si="20"/>
        <v>#DIV/0!</v>
      </c>
      <c r="AH38" s="45" t="str">
        <f t="shared" si="21"/>
        <v>#DIV/0!</v>
      </c>
      <c r="AI38" s="45" t="str">
        <f t="shared" si="22"/>
        <v>#DIV/0!</v>
      </c>
      <c r="AJ38" s="45" t="str">
        <f t="shared" si="23"/>
        <v>#DIV/0!</v>
      </c>
      <c r="AK38" s="44"/>
      <c r="AL38" s="45" t="str">
        <f t="shared" si="24"/>
        <v>#DIV/0!</v>
      </c>
      <c r="AM38" s="70" t="str">
        <f t="shared" si="25"/>
        <v>#DIV/0!</v>
      </c>
      <c r="AN38" s="47" t="str">
        <f t="shared" si="26"/>
        <v>#NUM!</v>
      </c>
      <c r="AO38" s="47" t="str">
        <f t="shared" si="27"/>
        <v>#NUM!</v>
      </c>
      <c r="AP38" s="73">
        <f t="shared" si="28"/>
        <v>0.465</v>
      </c>
      <c r="AQ38" s="47" t="str">
        <f t="shared" si="29"/>
        <v>#DIV/0!</v>
      </c>
      <c r="AR38" s="47" t="str">
        <f t="shared" si="30"/>
        <v>#DIV/0!</v>
      </c>
      <c r="AS38" s="48"/>
      <c r="AT38" s="47" t="str">
        <f t="shared" si="31"/>
        <v>#DIV/0!</v>
      </c>
      <c r="AU38" s="71" t="str">
        <f t="shared" si="32"/>
        <v/>
      </c>
      <c r="AV38" s="47">
        <f t="shared" si="33"/>
        <v>-15</v>
      </c>
      <c r="AW38" s="48" t="str">
        <f t="shared" si="34"/>
        <v/>
      </c>
      <c r="AX38" s="47" t="str">
        <f t="shared" si="35"/>
        <v>#DIV/0!</v>
      </c>
      <c r="AY38" s="47">
        <f t="shared" si="36"/>
        <v>0.4375</v>
      </c>
      <c r="AZ38" s="47">
        <f t="shared" si="37"/>
        <v>0.6956521739</v>
      </c>
      <c r="BA38" s="52"/>
      <c r="BB38" s="48"/>
      <c r="BC38" s="48"/>
      <c r="BD38" s="47" t="str">
        <f t="shared" si="38"/>
        <v>#DIV/0!</v>
      </c>
      <c r="BE38" s="47" t="str">
        <f t="shared" si="39"/>
        <v>#DIV/0!</v>
      </c>
      <c r="BF38" s="48" t="str">
        <f t="shared" ref="BF38:BK38" si="298">L38</f>
        <v/>
      </c>
      <c r="BG38" s="48" t="str">
        <f t="shared" si="298"/>
        <v/>
      </c>
      <c r="BH38" s="48" t="str">
        <f t="shared" si="298"/>
        <v/>
      </c>
      <c r="BI38" s="48" t="str">
        <f t="shared" si="298"/>
        <v/>
      </c>
      <c r="BJ38" s="48" t="str">
        <f t="shared" si="298"/>
        <v/>
      </c>
      <c r="BK38" s="48" t="str">
        <f t="shared" si="298"/>
        <v/>
      </c>
      <c r="BL38" s="48" t="str">
        <f t="shared" si="41"/>
        <v/>
      </c>
      <c r="BM38" s="48">
        <f t="shared" si="42"/>
        <v>0</v>
      </c>
      <c r="BN38" s="48">
        <f t="shared" si="43"/>
        <v>0</v>
      </c>
      <c r="BO38" s="48">
        <f t="shared" si="44"/>
        <v>0</v>
      </c>
      <c r="BP38" s="47" t="str">
        <f t="shared" si="45"/>
        <v>#DIV/0!</v>
      </c>
      <c r="BQ38" s="54"/>
      <c r="BR38" s="54"/>
      <c r="BS38" s="54"/>
      <c r="BT38" s="47" t="str">
        <f t="shared" si="46"/>
        <v>#NUM!</v>
      </c>
      <c r="BU38" s="48"/>
      <c r="BV38" s="48">
        <f t="shared" si="47"/>
        <v>3</v>
      </c>
      <c r="BW38" s="48" t="str">
        <f t="shared" ref="BW38:CA38" si="299">MAX(($BU38*BW$58)+BW$59,2)</f>
        <v>#REF!</v>
      </c>
      <c r="BX38" s="48" t="str">
        <f t="shared" si="299"/>
        <v>#REF!</v>
      </c>
      <c r="BY38" s="48" t="str">
        <f t="shared" si="299"/>
        <v>#REF!</v>
      </c>
      <c r="BZ38" s="48" t="str">
        <f t="shared" si="299"/>
        <v>#REF!</v>
      </c>
      <c r="CA38" s="48" t="str">
        <f t="shared" si="299"/>
        <v>#REF!</v>
      </c>
      <c r="CB38" s="48" t="str">
        <f t="shared" si="49"/>
        <v>#REF!</v>
      </c>
      <c r="CC38" s="48" t="str">
        <f t="shared" ref="CC38:CH38" si="300">MAX(($BU38*CC$58)+CC$59,2)</f>
        <v>#REF!</v>
      </c>
      <c r="CD38" s="48" t="str">
        <f t="shared" si="300"/>
        <v>#REF!</v>
      </c>
      <c r="CE38" s="48" t="str">
        <f t="shared" si="300"/>
        <v>#REF!</v>
      </c>
      <c r="CF38" s="48" t="str">
        <f t="shared" si="300"/>
        <v>#REF!</v>
      </c>
      <c r="CG38" s="48" t="str">
        <f t="shared" si="300"/>
        <v>#REF!</v>
      </c>
      <c r="CH38" s="48" t="str">
        <f t="shared" si="300"/>
        <v>#REF!</v>
      </c>
      <c r="CI38" s="48" t="str">
        <f t="shared" si="51"/>
        <v>#REF!</v>
      </c>
      <c r="CJ38" s="48" t="str">
        <f t="shared" si="52"/>
        <v>#REF!</v>
      </c>
      <c r="CK38" s="48" t="str">
        <f t="shared" si="53"/>
        <v>#REF!</v>
      </c>
      <c r="CL38" s="48" t="str">
        <f t="shared" si="54"/>
        <v>#REF!</v>
      </c>
      <c r="CM38" s="47" t="str">
        <f t="shared" si="55"/>
        <v>#REF!</v>
      </c>
      <c r="CN38" s="47" t="str">
        <f t="shared" si="56"/>
        <v>#REF!</v>
      </c>
      <c r="CO38" s="47" t="str">
        <f t="shared" si="57"/>
        <v>#REF!</v>
      </c>
      <c r="CP38" s="47" t="str">
        <f t="shared" si="58"/>
        <v>#REF!</v>
      </c>
      <c r="CQ38" s="48"/>
      <c r="CR38" s="47" t="str">
        <f t="shared" ref="CR38:CU38" si="301">(M38-BY38)/M38</f>
        <v>#REF!</v>
      </c>
      <c r="CS38" s="47" t="str">
        <f t="shared" si="301"/>
        <v>#REF!</v>
      </c>
      <c r="CT38" s="47" t="str">
        <f t="shared" si="301"/>
        <v>#REF!</v>
      </c>
      <c r="CU38" s="47" t="str">
        <f t="shared" si="301"/>
        <v>#REF!</v>
      </c>
      <c r="CV38" s="48"/>
      <c r="CW38" s="47" t="str">
        <f t="shared" si="60"/>
        <v>#REF!</v>
      </c>
      <c r="CX38" s="47" t="str">
        <f t="shared" ref="CX38:CY38" si="302">(R38-CI38)/R38</f>
        <v>#REF!</v>
      </c>
      <c r="CY38" s="47" t="str">
        <f t="shared" si="302"/>
        <v>#REF!</v>
      </c>
      <c r="CZ38" s="47" t="str">
        <f t="shared" ref="CZ38:DA38" si="303">(T38-CD38)/T38</f>
        <v>#REF!</v>
      </c>
      <c r="DA38" s="47" t="str">
        <f t="shared" si="303"/>
        <v>#REF!</v>
      </c>
      <c r="DB38" s="48"/>
      <c r="DC38" s="47" t="str">
        <f t="shared" ref="DC38:DE38" si="304">MAX(0,CN38)*$DB38</f>
        <v>#REF!</v>
      </c>
      <c r="DD38" s="47" t="str">
        <f t="shared" si="304"/>
        <v>#REF!</v>
      </c>
      <c r="DE38" s="47" t="str">
        <f t="shared" si="304"/>
        <v>#REF!</v>
      </c>
      <c r="DF38" s="47" t="str">
        <f t="shared" ref="DF38:DI38" si="305">MAX(0,CR38)*$DB38</f>
        <v>#REF!</v>
      </c>
      <c r="DG38" s="47" t="str">
        <f t="shared" si="305"/>
        <v>#REF!</v>
      </c>
      <c r="DH38" s="47" t="str">
        <f t="shared" si="305"/>
        <v>#REF!</v>
      </c>
      <c r="DI38" s="47" t="str">
        <f t="shared" si="305"/>
        <v>#REF!</v>
      </c>
      <c r="DJ38" s="47" t="str">
        <f t="shared" ref="DJ38:DN38" si="306">MAX(0,CW38)*$DB38</f>
        <v>#REF!</v>
      </c>
      <c r="DK38" s="47" t="str">
        <f t="shared" si="306"/>
        <v>#REF!</v>
      </c>
      <c r="DL38" s="47" t="str">
        <f t="shared" si="306"/>
        <v>#REF!</v>
      </c>
      <c r="DM38" s="47" t="str">
        <f t="shared" si="306"/>
        <v>#REF!</v>
      </c>
      <c r="DN38" s="47" t="str">
        <f t="shared" si="306"/>
        <v>#REF!</v>
      </c>
      <c r="DO38" s="45"/>
      <c r="DP38" s="45"/>
      <c r="DQ38" s="45"/>
      <c r="DR38" s="45"/>
      <c r="DS38" s="45"/>
      <c r="DT38" s="45"/>
      <c r="DU38" s="45"/>
      <c r="DV38" s="66">
        <f t="shared" si="66"/>
        <v>0</v>
      </c>
      <c r="DW38" s="56"/>
      <c r="DX38" s="67"/>
    </row>
    <row r="39" ht="14.25" customHeight="1">
      <c r="A39" s="34" t="s">
        <v>33</v>
      </c>
      <c r="B39" s="68"/>
      <c r="C39" s="59" t="str">
        <f t="shared" si="211"/>
        <v/>
      </c>
      <c r="D39" s="59" t="str">
        <f t="shared" si="212"/>
        <v/>
      </c>
      <c r="E39" s="60" t="str">
        <f t="shared" si="213"/>
        <v/>
      </c>
      <c r="F39" s="72">
        <f t="shared" si="279"/>
        <v>0</v>
      </c>
      <c r="G39" s="59" t="str">
        <f t="shared" si="214"/>
        <v/>
      </c>
      <c r="H39" s="59" t="str">
        <f t="shared" si="215"/>
        <v/>
      </c>
      <c r="I39" s="62"/>
      <c r="J39" s="43"/>
      <c r="K39" s="43"/>
      <c r="L39" s="43"/>
      <c r="M39" s="43"/>
      <c r="N39" s="43"/>
      <c r="O39" s="43"/>
      <c r="P39" s="63"/>
      <c r="Q39" s="63"/>
      <c r="R39" s="43"/>
      <c r="S39" s="43"/>
      <c r="T39" s="43"/>
      <c r="U39" s="43"/>
      <c r="V39" s="43">
        <f t="shared" si="10"/>
        <v>0</v>
      </c>
      <c r="W39" s="45" t="str">
        <f t="shared" si="11"/>
        <v>#DIV/0!</v>
      </c>
      <c r="X39" s="45" t="str">
        <f t="shared" si="12"/>
        <v>#DIV/0!</v>
      </c>
      <c r="Y39" s="43">
        <f t="shared" si="13"/>
        <v>0</v>
      </c>
      <c r="Z39" s="43">
        <f t="shared" si="14"/>
        <v>0</v>
      </c>
      <c r="AA39" s="43">
        <f t="shared" si="15"/>
        <v>0</v>
      </c>
      <c r="AB39" s="43">
        <f t="shared" si="16"/>
        <v>0</v>
      </c>
      <c r="AC39" s="43">
        <f t="shared" si="17"/>
        <v>0</v>
      </c>
      <c r="AD39" s="43">
        <f t="shared" si="18"/>
        <v>0</v>
      </c>
      <c r="AE39" s="44"/>
      <c r="AF39" s="45" t="str">
        <f t="shared" si="19"/>
        <v>#DIV/0!</v>
      </c>
      <c r="AG39" s="45" t="str">
        <f t="shared" si="20"/>
        <v>#DIV/0!</v>
      </c>
      <c r="AH39" s="45" t="str">
        <f t="shared" si="21"/>
        <v>#DIV/0!</v>
      </c>
      <c r="AI39" s="45" t="str">
        <f t="shared" si="22"/>
        <v>#DIV/0!</v>
      </c>
      <c r="AJ39" s="45" t="str">
        <f t="shared" si="23"/>
        <v>#DIV/0!</v>
      </c>
      <c r="AK39" s="44"/>
      <c r="AL39" s="45" t="str">
        <f t="shared" si="24"/>
        <v>#DIV/0!</v>
      </c>
      <c r="AM39" s="70" t="str">
        <f t="shared" si="25"/>
        <v>#DIV/0!</v>
      </c>
      <c r="AN39" s="47" t="str">
        <f t="shared" si="26"/>
        <v>#NUM!</v>
      </c>
      <c r="AO39" s="47" t="str">
        <f t="shared" si="27"/>
        <v>#NUM!</v>
      </c>
      <c r="AP39" s="73">
        <f t="shared" si="28"/>
        <v>0.465</v>
      </c>
      <c r="AQ39" s="47" t="str">
        <f t="shared" si="29"/>
        <v>#DIV/0!</v>
      </c>
      <c r="AR39" s="47" t="str">
        <f t="shared" si="30"/>
        <v>#DIV/0!</v>
      </c>
      <c r="AS39" s="48"/>
      <c r="AT39" s="47" t="str">
        <f t="shared" si="31"/>
        <v>#DIV/0!</v>
      </c>
      <c r="AU39" s="71" t="str">
        <f t="shared" si="32"/>
        <v/>
      </c>
      <c r="AV39" s="47">
        <f t="shared" si="33"/>
        <v>-15</v>
      </c>
      <c r="AW39" s="48" t="str">
        <f t="shared" si="34"/>
        <v/>
      </c>
      <c r="AX39" s="47" t="str">
        <f t="shared" si="35"/>
        <v>#DIV/0!</v>
      </c>
      <c r="AY39" s="47">
        <f t="shared" si="36"/>
        <v>0.4375</v>
      </c>
      <c r="AZ39" s="47">
        <f t="shared" si="37"/>
        <v>0.6956521739</v>
      </c>
      <c r="BA39" s="52"/>
      <c r="BB39" s="48"/>
      <c r="BC39" s="48"/>
      <c r="BD39" s="47" t="str">
        <f t="shared" si="38"/>
        <v>#DIV/0!</v>
      </c>
      <c r="BE39" s="47" t="str">
        <f t="shared" si="39"/>
        <v>#DIV/0!</v>
      </c>
      <c r="BF39" s="48" t="str">
        <f t="shared" ref="BF39:BK39" si="307">L39</f>
        <v/>
      </c>
      <c r="BG39" s="48" t="str">
        <f t="shared" si="307"/>
        <v/>
      </c>
      <c r="BH39" s="48" t="str">
        <f t="shared" si="307"/>
        <v/>
      </c>
      <c r="BI39" s="48" t="str">
        <f t="shared" si="307"/>
        <v/>
      </c>
      <c r="BJ39" s="48" t="str">
        <f t="shared" si="307"/>
        <v/>
      </c>
      <c r="BK39" s="48" t="str">
        <f t="shared" si="307"/>
        <v/>
      </c>
      <c r="BL39" s="48" t="str">
        <f t="shared" si="41"/>
        <v/>
      </c>
      <c r="BM39" s="48">
        <f t="shared" si="42"/>
        <v>0</v>
      </c>
      <c r="BN39" s="48">
        <f t="shared" si="43"/>
        <v>0</v>
      </c>
      <c r="BO39" s="48">
        <f t="shared" si="44"/>
        <v>0</v>
      </c>
      <c r="BP39" s="47" t="str">
        <f t="shared" si="45"/>
        <v>#DIV/0!</v>
      </c>
      <c r="BQ39" s="54"/>
      <c r="BR39" s="54"/>
      <c r="BS39" s="54"/>
      <c r="BT39" s="47" t="str">
        <f t="shared" si="46"/>
        <v>#NUM!</v>
      </c>
      <c r="BU39" s="48"/>
      <c r="BV39" s="48">
        <f t="shared" si="47"/>
        <v>3</v>
      </c>
      <c r="BW39" s="48" t="str">
        <f t="shared" ref="BW39:CA39" si="308">MAX(($BU39*BW$58)+BW$59,2)</f>
        <v>#REF!</v>
      </c>
      <c r="BX39" s="48" t="str">
        <f t="shared" si="308"/>
        <v>#REF!</v>
      </c>
      <c r="BY39" s="48" t="str">
        <f t="shared" si="308"/>
        <v>#REF!</v>
      </c>
      <c r="BZ39" s="48" t="str">
        <f t="shared" si="308"/>
        <v>#REF!</v>
      </c>
      <c r="CA39" s="48" t="str">
        <f t="shared" si="308"/>
        <v>#REF!</v>
      </c>
      <c r="CB39" s="48" t="str">
        <f t="shared" si="49"/>
        <v>#REF!</v>
      </c>
      <c r="CC39" s="48" t="str">
        <f t="shared" ref="CC39:CH39" si="309">MAX(($BU39*CC$58)+CC$59,2)</f>
        <v>#REF!</v>
      </c>
      <c r="CD39" s="48" t="str">
        <f t="shared" si="309"/>
        <v>#REF!</v>
      </c>
      <c r="CE39" s="48" t="str">
        <f t="shared" si="309"/>
        <v>#REF!</v>
      </c>
      <c r="CF39" s="48" t="str">
        <f t="shared" si="309"/>
        <v>#REF!</v>
      </c>
      <c r="CG39" s="48" t="str">
        <f t="shared" si="309"/>
        <v>#REF!</v>
      </c>
      <c r="CH39" s="48" t="str">
        <f t="shared" si="309"/>
        <v>#REF!</v>
      </c>
      <c r="CI39" s="48" t="str">
        <f t="shared" si="51"/>
        <v>#REF!</v>
      </c>
      <c r="CJ39" s="48" t="str">
        <f t="shared" si="52"/>
        <v>#REF!</v>
      </c>
      <c r="CK39" s="48" t="str">
        <f t="shared" si="53"/>
        <v>#REF!</v>
      </c>
      <c r="CL39" s="48" t="str">
        <f t="shared" si="54"/>
        <v>#REF!</v>
      </c>
      <c r="CM39" s="47" t="str">
        <f t="shared" si="55"/>
        <v>#REF!</v>
      </c>
      <c r="CN39" s="47" t="str">
        <f t="shared" si="56"/>
        <v>#REF!</v>
      </c>
      <c r="CO39" s="47" t="str">
        <f t="shared" si="57"/>
        <v>#REF!</v>
      </c>
      <c r="CP39" s="47" t="str">
        <f t="shared" si="58"/>
        <v>#REF!</v>
      </c>
      <c r="CQ39" s="48"/>
      <c r="CR39" s="47" t="str">
        <f t="shared" ref="CR39:CU39" si="310">(M39-BY39)/M39</f>
        <v>#REF!</v>
      </c>
      <c r="CS39" s="47" t="str">
        <f t="shared" si="310"/>
        <v>#REF!</v>
      </c>
      <c r="CT39" s="47" t="str">
        <f t="shared" si="310"/>
        <v>#REF!</v>
      </c>
      <c r="CU39" s="47" t="str">
        <f t="shared" si="310"/>
        <v>#REF!</v>
      </c>
      <c r="CV39" s="48"/>
      <c r="CW39" s="47" t="str">
        <f t="shared" si="60"/>
        <v>#REF!</v>
      </c>
      <c r="CX39" s="47" t="str">
        <f t="shared" ref="CX39:CY39" si="311">(R39-CI39)/R39</f>
        <v>#REF!</v>
      </c>
      <c r="CY39" s="47" t="str">
        <f t="shared" si="311"/>
        <v>#REF!</v>
      </c>
      <c r="CZ39" s="47" t="str">
        <f t="shared" ref="CZ39:DA39" si="312">(T39-CD39)/T39</f>
        <v>#REF!</v>
      </c>
      <c r="DA39" s="47" t="str">
        <f t="shared" si="312"/>
        <v>#REF!</v>
      </c>
      <c r="DB39" s="48"/>
      <c r="DC39" s="47" t="str">
        <f t="shared" ref="DC39:DE39" si="313">MAX(0,CN39)*$DB39</f>
        <v>#REF!</v>
      </c>
      <c r="DD39" s="47" t="str">
        <f t="shared" si="313"/>
        <v>#REF!</v>
      </c>
      <c r="DE39" s="47" t="str">
        <f t="shared" si="313"/>
        <v>#REF!</v>
      </c>
      <c r="DF39" s="47" t="str">
        <f t="shared" ref="DF39:DI39" si="314">MAX(0,CR39)*$DB39</f>
        <v>#REF!</v>
      </c>
      <c r="DG39" s="47" t="str">
        <f t="shared" si="314"/>
        <v>#REF!</v>
      </c>
      <c r="DH39" s="47" t="str">
        <f t="shared" si="314"/>
        <v>#REF!</v>
      </c>
      <c r="DI39" s="47" t="str">
        <f t="shared" si="314"/>
        <v>#REF!</v>
      </c>
      <c r="DJ39" s="47" t="str">
        <f t="shared" ref="DJ39:DN39" si="315">MAX(0,CW39)*$DB39</f>
        <v>#REF!</v>
      </c>
      <c r="DK39" s="47" t="str">
        <f t="shared" si="315"/>
        <v>#REF!</v>
      </c>
      <c r="DL39" s="47" t="str">
        <f t="shared" si="315"/>
        <v>#REF!</v>
      </c>
      <c r="DM39" s="47" t="str">
        <f t="shared" si="315"/>
        <v>#REF!</v>
      </c>
      <c r="DN39" s="47" t="str">
        <f t="shared" si="315"/>
        <v>#REF!</v>
      </c>
      <c r="DO39" s="45"/>
      <c r="DP39" s="45"/>
      <c r="DQ39" s="45"/>
      <c r="DR39" s="45"/>
      <c r="DS39" s="45"/>
      <c r="DT39" s="45"/>
      <c r="DU39" s="45"/>
      <c r="DV39" s="55">
        <f t="shared" si="66"/>
        <v>0</v>
      </c>
      <c r="DW39" s="56"/>
      <c r="DX39" s="67"/>
    </row>
    <row r="40" ht="14.25" customHeight="1">
      <c r="A40" s="34" t="s">
        <v>33</v>
      </c>
      <c r="B40" s="68"/>
      <c r="C40" s="59" t="str">
        <f t="shared" si="211"/>
        <v/>
      </c>
      <c r="D40" s="59" t="str">
        <f t="shared" si="212"/>
        <v/>
      </c>
      <c r="E40" s="60" t="str">
        <f t="shared" si="213"/>
        <v/>
      </c>
      <c r="F40" s="72">
        <f t="shared" si="279"/>
        <v>0</v>
      </c>
      <c r="G40" s="59" t="str">
        <f t="shared" si="214"/>
        <v/>
      </c>
      <c r="H40" s="59" t="str">
        <f t="shared" si="215"/>
        <v/>
      </c>
      <c r="I40" s="62"/>
      <c r="J40" s="43"/>
      <c r="K40" s="43"/>
      <c r="L40" s="43"/>
      <c r="M40" s="43"/>
      <c r="N40" s="43"/>
      <c r="O40" s="43"/>
      <c r="P40" s="63"/>
      <c r="Q40" s="63"/>
      <c r="R40" s="43"/>
      <c r="S40" s="43"/>
      <c r="T40" s="43"/>
      <c r="U40" s="43"/>
      <c r="V40" s="43">
        <f t="shared" si="10"/>
        <v>0</v>
      </c>
      <c r="W40" s="45" t="str">
        <f t="shared" si="11"/>
        <v>#DIV/0!</v>
      </c>
      <c r="X40" s="45" t="str">
        <f t="shared" si="12"/>
        <v>#DIV/0!</v>
      </c>
      <c r="Y40" s="43">
        <f t="shared" si="13"/>
        <v>0</v>
      </c>
      <c r="Z40" s="43">
        <f t="shared" si="14"/>
        <v>0</v>
      </c>
      <c r="AA40" s="43">
        <f t="shared" si="15"/>
        <v>0</v>
      </c>
      <c r="AB40" s="43">
        <f t="shared" si="16"/>
        <v>0</v>
      </c>
      <c r="AC40" s="43">
        <f t="shared" si="17"/>
        <v>0</v>
      </c>
      <c r="AD40" s="43">
        <f t="shared" si="18"/>
        <v>0</v>
      </c>
      <c r="AE40" s="44"/>
      <c r="AF40" s="45" t="str">
        <f t="shared" si="19"/>
        <v>#DIV/0!</v>
      </c>
      <c r="AG40" s="45" t="str">
        <f t="shared" si="20"/>
        <v>#DIV/0!</v>
      </c>
      <c r="AH40" s="45" t="str">
        <f t="shared" si="21"/>
        <v>#DIV/0!</v>
      </c>
      <c r="AI40" s="45" t="str">
        <f t="shared" si="22"/>
        <v>#DIV/0!</v>
      </c>
      <c r="AJ40" s="45" t="str">
        <f t="shared" si="23"/>
        <v>#DIV/0!</v>
      </c>
      <c r="AK40" s="44"/>
      <c r="AL40" s="45" t="str">
        <f t="shared" si="24"/>
        <v>#DIV/0!</v>
      </c>
      <c r="AM40" s="70" t="str">
        <f t="shared" si="25"/>
        <v>#DIV/0!</v>
      </c>
      <c r="AN40" s="47" t="str">
        <f t="shared" si="26"/>
        <v>#NUM!</v>
      </c>
      <c r="AO40" s="47" t="str">
        <f t="shared" si="27"/>
        <v>#NUM!</v>
      </c>
      <c r="AP40" s="73">
        <f t="shared" si="28"/>
        <v>0.465</v>
      </c>
      <c r="AQ40" s="47" t="str">
        <f t="shared" si="29"/>
        <v>#DIV/0!</v>
      </c>
      <c r="AR40" s="47" t="str">
        <f t="shared" si="30"/>
        <v>#DIV/0!</v>
      </c>
      <c r="AS40" s="48"/>
      <c r="AT40" s="47" t="str">
        <f t="shared" si="31"/>
        <v>#DIV/0!</v>
      </c>
      <c r="AU40" s="71" t="str">
        <f t="shared" si="32"/>
        <v/>
      </c>
      <c r="AV40" s="47">
        <f t="shared" si="33"/>
        <v>-15</v>
      </c>
      <c r="AW40" s="48" t="str">
        <f t="shared" si="34"/>
        <v/>
      </c>
      <c r="AX40" s="47" t="str">
        <f t="shared" si="35"/>
        <v>#DIV/0!</v>
      </c>
      <c r="AY40" s="47">
        <f t="shared" si="36"/>
        <v>0.4375</v>
      </c>
      <c r="AZ40" s="47">
        <f t="shared" si="37"/>
        <v>0.6956521739</v>
      </c>
      <c r="BA40" s="52"/>
      <c r="BB40" s="48"/>
      <c r="BC40" s="48"/>
      <c r="BD40" s="47" t="str">
        <f t="shared" si="38"/>
        <v>#DIV/0!</v>
      </c>
      <c r="BE40" s="47" t="str">
        <f t="shared" si="39"/>
        <v>#DIV/0!</v>
      </c>
      <c r="BF40" s="48" t="str">
        <f t="shared" ref="BF40:BK40" si="316">L40</f>
        <v/>
      </c>
      <c r="BG40" s="48" t="str">
        <f t="shared" si="316"/>
        <v/>
      </c>
      <c r="BH40" s="48" t="str">
        <f t="shared" si="316"/>
        <v/>
      </c>
      <c r="BI40" s="48" t="str">
        <f t="shared" si="316"/>
        <v/>
      </c>
      <c r="BJ40" s="48" t="str">
        <f t="shared" si="316"/>
        <v/>
      </c>
      <c r="BK40" s="48" t="str">
        <f t="shared" si="316"/>
        <v/>
      </c>
      <c r="BL40" s="48" t="str">
        <f t="shared" si="41"/>
        <v/>
      </c>
      <c r="BM40" s="48">
        <f t="shared" si="42"/>
        <v>0</v>
      </c>
      <c r="BN40" s="48">
        <f t="shared" si="43"/>
        <v>0</v>
      </c>
      <c r="BO40" s="48">
        <f t="shared" si="44"/>
        <v>0</v>
      </c>
      <c r="BP40" s="47" t="str">
        <f t="shared" si="45"/>
        <v>#DIV/0!</v>
      </c>
      <c r="BQ40" s="74"/>
      <c r="BR40" s="74"/>
      <c r="BS40" s="75"/>
      <c r="BT40" s="47" t="str">
        <f t="shared" si="46"/>
        <v>#NUM!</v>
      </c>
      <c r="BU40" s="48"/>
      <c r="BV40" s="48">
        <f t="shared" si="47"/>
        <v>3</v>
      </c>
      <c r="BW40" s="48" t="str">
        <f t="shared" ref="BW40:CA40" si="317">MAX(($BU40*BW$58)+BW$59,2)</f>
        <v>#REF!</v>
      </c>
      <c r="BX40" s="48" t="str">
        <f t="shared" si="317"/>
        <v>#REF!</v>
      </c>
      <c r="BY40" s="48" t="str">
        <f t="shared" si="317"/>
        <v>#REF!</v>
      </c>
      <c r="BZ40" s="48" t="str">
        <f t="shared" si="317"/>
        <v>#REF!</v>
      </c>
      <c r="CA40" s="48" t="str">
        <f t="shared" si="317"/>
        <v>#REF!</v>
      </c>
      <c r="CB40" s="48" t="str">
        <f t="shared" si="49"/>
        <v>#REF!</v>
      </c>
      <c r="CC40" s="48" t="str">
        <f t="shared" ref="CC40:CH40" si="318">MAX(($BU40*CC$58)+CC$59,2)</f>
        <v>#REF!</v>
      </c>
      <c r="CD40" s="48" t="str">
        <f t="shared" si="318"/>
        <v>#REF!</v>
      </c>
      <c r="CE40" s="48" t="str">
        <f t="shared" si="318"/>
        <v>#REF!</v>
      </c>
      <c r="CF40" s="48" t="str">
        <f t="shared" si="318"/>
        <v>#REF!</v>
      </c>
      <c r="CG40" s="48" t="str">
        <f t="shared" si="318"/>
        <v>#REF!</v>
      </c>
      <c r="CH40" s="48" t="str">
        <f t="shared" si="318"/>
        <v>#REF!</v>
      </c>
      <c r="CI40" s="48" t="str">
        <f t="shared" si="51"/>
        <v>#REF!</v>
      </c>
      <c r="CJ40" s="48" t="str">
        <f t="shared" si="52"/>
        <v>#REF!</v>
      </c>
      <c r="CK40" s="48" t="str">
        <f t="shared" si="53"/>
        <v>#REF!</v>
      </c>
      <c r="CL40" s="48" t="str">
        <f t="shared" si="54"/>
        <v>#REF!</v>
      </c>
      <c r="CM40" s="47" t="str">
        <f t="shared" si="55"/>
        <v>#REF!</v>
      </c>
      <c r="CN40" s="47" t="str">
        <f t="shared" si="56"/>
        <v>#REF!</v>
      </c>
      <c r="CO40" s="47" t="str">
        <f t="shared" si="57"/>
        <v>#REF!</v>
      </c>
      <c r="CP40" s="47" t="str">
        <f t="shared" si="58"/>
        <v>#REF!</v>
      </c>
      <c r="CQ40" s="48"/>
      <c r="CR40" s="47" t="str">
        <f t="shared" ref="CR40:CU40" si="319">(M40-BY40)/M40</f>
        <v>#REF!</v>
      </c>
      <c r="CS40" s="47" t="str">
        <f t="shared" si="319"/>
        <v>#REF!</v>
      </c>
      <c r="CT40" s="47" t="str">
        <f t="shared" si="319"/>
        <v>#REF!</v>
      </c>
      <c r="CU40" s="47" t="str">
        <f t="shared" si="319"/>
        <v>#REF!</v>
      </c>
      <c r="CV40" s="48"/>
      <c r="CW40" s="47" t="str">
        <f t="shared" si="60"/>
        <v>#REF!</v>
      </c>
      <c r="CX40" s="47" t="str">
        <f t="shared" ref="CX40:CY40" si="320">(R40-CI40)/R40</f>
        <v>#REF!</v>
      </c>
      <c r="CY40" s="47" t="str">
        <f t="shared" si="320"/>
        <v>#REF!</v>
      </c>
      <c r="CZ40" s="47" t="str">
        <f t="shared" ref="CZ40:DA40" si="321">(T40-CD40)/T40</f>
        <v>#REF!</v>
      </c>
      <c r="DA40" s="47" t="str">
        <f t="shared" si="321"/>
        <v>#REF!</v>
      </c>
      <c r="DB40" s="48"/>
      <c r="DC40" s="47" t="str">
        <f t="shared" ref="DC40:DE40" si="322">MAX(0,CN40)*$DB40</f>
        <v>#REF!</v>
      </c>
      <c r="DD40" s="47" t="str">
        <f t="shared" si="322"/>
        <v>#REF!</v>
      </c>
      <c r="DE40" s="47" t="str">
        <f t="shared" si="322"/>
        <v>#REF!</v>
      </c>
      <c r="DF40" s="47" t="str">
        <f t="shared" ref="DF40:DI40" si="323">MAX(0,CR40)*$DB40</f>
        <v>#REF!</v>
      </c>
      <c r="DG40" s="47" t="str">
        <f t="shared" si="323"/>
        <v>#REF!</v>
      </c>
      <c r="DH40" s="47" t="str">
        <f t="shared" si="323"/>
        <v>#REF!</v>
      </c>
      <c r="DI40" s="47" t="str">
        <f t="shared" si="323"/>
        <v>#REF!</v>
      </c>
      <c r="DJ40" s="47" t="str">
        <f t="shared" ref="DJ40:DN40" si="324">MAX(0,CW40)*$DB40</f>
        <v>#REF!</v>
      </c>
      <c r="DK40" s="47" t="str">
        <f t="shared" si="324"/>
        <v>#REF!</v>
      </c>
      <c r="DL40" s="47" t="str">
        <f t="shared" si="324"/>
        <v>#REF!</v>
      </c>
      <c r="DM40" s="47" t="str">
        <f t="shared" si="324"/>
        <v>#REF!</v>
      </c>
      <c r="DN40" s="47" t="str">
        <f t="shared" si="324"/>
        <v>#REF!</v>
      </c>
      <c r="DO40" s="45"/>
      <c r="DP40" s="45"/>
      <c r="DQ40" s="45"/>
      <c r="DR40" s="45"/>
      <c r="DS40" s="45"/>
      <c r="DT40" s="45"/>
      <c r="DU40" s="45"/>
      <c r="DV40" s="66">
        <f t="shared" si="66"/>
        <v>0</v>
      </c>
      <c r="DW40" s="56"/>
      <c r="DX40" s="67"/>
    </row>
    <row r="41" ht="14.25" customHeight="1">
      <c r="A41" s="34" t="s">
        <v>33</v>
      </c>
      <c r="B41" s="68"/>
      <c r="C41" s="59" t="str">
        <f t="shared" si="211"/>
        <v/>
      </c>
      <c r="D41" s="59" t="str">
        <f t="shared" si="212"/>
        <v/>
      </c>
      <c r="E41" s="60" t="str">
        <f t="shared" si="213"/>
        <v/>
      </c>
      <c r="F41" s="72">
        <f t="shared" si="279"/>
        <v>0</v>
      </c>
      <c r="G41" s="59" t="str">
        <f t="shared" si="214"/>
        <v/>
      </c>
      <c r="H41" s="59" t="str">
        <f t="shared" si="215"/>
        <v/>
      </c>
      <c r="I41" s="62"/>
      <c r="J41" s="43"/>
      <c r="K41" s="43"/>
      <c r="L41" s="43"/>
      <c r="M41" s="43"/>
      <c r="N41" s="43"/>
      <c r="O41" s="43"/>
      <c r="P41" s="63"/>
      <c r="Q41" s="63"/>
      <c r="R41" s="43"/>
      <c r="S41" s="43"/>
      <c r="T41" s="43"/>
      <c r="U41" s="43"/>
      <c r="V41" s="43">
        <f t="shared" si="10"/>
        <v>0</v>
      </c>
      <c r="W41" s="45" t="str">
        <f t="shared" si="11"/>
        <v>#DIV/0!</v>
      </c>
      <c r="X41" s="45" t="str">
        <f t="shared" si="12"/>
        <v>#DIV/0!</v>
      </c>
      <c r="Y41" s="43">
        <f t="shared" si="13"/>
        <v>0</v>
      </c>
      <c r="Z41" s="43">
        <f t="shared" si="14"/>
        <v>0</v>
      </c>
      <c r="AA41" s="43">
        <f t="shared" si="15"/>
        <v>0</v>
      </c>
      <c r="AB41" s="43">
        <f t="shared" si="16"/>
        <v>0</v>
      </c>
      <c r="AC41" s="43">
        <f t="shared" si="17"/>
        <v>0</v>
      </c>
      <c r="AD41" s="43">
        <f t="shared" si="18"/>
        <v>0</v>
      </c>
      <c r="AE41" s="44"/>
      <c r="AF41" s="45" t="str">
        <f t="shared" si="19"/>
        <v>#DIV/0!</v>
      </c>
      <c r="AG41" s="45" t="str">
        <f t="shared" si="20"/>
        <v>#DIV/0!</v>
      </c>
      <c r="AH41" s="45" t="str">
        <f t="shared" si="21"/>
        <v>#DIV/0!</v>
      </c>
      <c r="AI41" s="45" t="str">
        <f t="shared" si="22"/>
        <v>#DIV/0!</v>
      </c>
      <c r="AJ41" s="45" t="str">
        <f t="shared" si="23"/>
        <v>#DIV/0!</v>
      </c>
      <c r="AK41" s="44"/>
      <c r="AL41" s="45" t="str">
        <f t="shared" si="24"/>
        <v>#DIV/0!</v>
      </c>
      <c r="AM41" s="70" t="str">
        <f t="shared" si="25"/>
        <v>#DIV/0!</v>
      </c>
      <c r="AN41" s="47" t="str">
        <f t="shared" si="26"/>
        <v>#NUM!</v>
      </c>
      <c r="AO41" s="47" t="str">
        <f t="shared" si="27"/>
        <v>#NUM!</v>
      </c>
      <c r="AP41" s="73">
        <f t="shared" si="28"/>
        <v>0.465</v>
      </c>
      <c r="AQ41" s="47" t="str">
        <f t="shared" si="29"/>
        <v>#DIV/0!</v>
      </c>
      <c r="AR41" s="47" t="str">
        <f t="shared" si="30"/>
        <v>#DIV/0!</v>
      </c>
      <c r="AS41" s="48"/>
      <c r="AT41" s="47" t="str">
        <f t="shared" si="31"/>
        <v>#DIV/0!</v>
      </c>
      <c r="AU41" s="71" t="str">
        <f t="shared" si="32"/>
        <v/>
      </c>
      <c r="AV41" s="47">
        <f t="shared" si="33"/>
        <v>-15</v>
      </c>
      <c r="AW41" s="48" t="str">
        <f t="shared" si="34"/>
        <v/>
      </c>
      <c r="AX41" s="47" t="str">
        <f t="shared" si="35"/>
        <v>#DIV/0!</v>
      </c>
      <c r="AY41" s="47">
        <f t="shared" si="36"/>
        <v>0.4375</v>
      </c>
      <c r="AZ41" s="47">
        <f t="shared" si="37"/>
        <v>0.6956521739</v>
      </c>
      <c r="BA41" s="52"/>
      <c r="BB41" s="48"/>
      <c r="BC41" s="48"/>
      <c r="BD41" s="47" t="str">
        <f t="shared" si="38"/>
        <v>#DIV/0!</v>
      </c>
      <c r="BE41" s="47" t="str">
        <f t="shared" si="39"/>
        <v>#DIV/0!</v>
      </c>
      <c r="BF41" s="48" t="str">
        <f t="shared" ref="BF41:BK41" si="325">L41</f>
        <v/>
      </c>
      <c r="BG41" s="48" t="str">
        <f t="shared" si="325"/>
        <v/>
      </c>
      <c r="BH41" s="48" t="str">
        <f t="shared" si="325"/>
        <v/>
      </c>
      <c r="BI41" s="48" t="str">
        <f t="shared" si="325"/>
        <v/>
      </c>
      <c r="BJ41" s="48" t="str">
        <f t="shared" si="325"/>
        <v/>
      </c>
      <c r="BK41" s="48" t="str">
        <f t="shared" si="325"/>
        <v/>
      </c>
      <c r="BL41" s="48" t="str">
        <f t="shared" si="41"/>
        <v/>
      </c>
      <c r="BM41" s="48">
        <f t="shared" si="42"/>
        <v>0</v>
      </c>
      <c r="BN41" s="48">
        <f t="shared" si="43"/>
        <v>0</v>
      </c>
      <c r="BO41" s="48">
        <f t="shared" si="44"/>
        <v>0</v>
      </c>
      <c r="BP41" s="47" t="str">
        <f t="shared" si="45"/>
        <v>#DIV/0!</v>
      </c>
      <c r="BQ41" s="54"/>
      <c r="BR41" s="54"/>
      <c r="BS41" s="54"/>
      <c r="BT41" s="47" t="str">
        <f t="shared" si="46"/>
        <v>#NUM!</v>
      </c>
      <c r="BU41" s="48"/>
      <c r="BV41" s="48">
        <f t="shared" si="47"/>
        <v>3</v>
      </c>
      <c r="BW41" s="48" t="str">
        <f t="shared" ref="BW41:CA41" si="326">MAX(($BU41*BW$58)+BW$59,2)</f>
        <v>#REF!</v>
      </c>
      <c r="BX41" s="48" t="str">
        <f t="shared" si="326"/>
        <v>#REF!</v>
      </c>
      <c r="BY41" s="48" t="str">
        <f t="shared" si="326"/>
        <v>#REF!</v>
      </c>
      <c r="BZ41" s="48" t="str">
        <f t="shared" si="326"/>
        <v>#REF!</v>
      </c>
      <c r="CA41" s="48" t="str">
        <f t="shared" si="326"/>
        <v>#REF!</v>
      </c>
      <c r="CB41" s="48" t="str">
        <f t="shared" si="49"/>
        <v>#REF!</v>
      </c>
      <c r="CC41" s="48" t="str">
        <f t="shared" ref="CC41:CH41" si="327">MAX(($BU41*CC$58)+CC$59,2)</f>
        <v>#REF!</v>
      </c>
      <c r="CD41" s="48" t="str">
        <f t="shared" si="327"/>
        <v>#REF!</v>
      </c>
      <c r="CE41" s="48" t="str">
        <f t="shared" si="327"/>
        <v>#REF!</v>
      </c>
      <c r="CF41" s="48" t="str">
        <f t="shared" si="327"/>
        <v>#REF!</v>
      </c>
      <c r="CG41" s="48" t="str">
        <f t="shared" si="327"/>
        <v>#REF!</v>
      </c>
      <c r="CH41" s="48" t="str">
        <f t="shared" si="327"/>
        <v>#REF!</v>
      </c>
      <c r="CI41" s="48" t="str">
        <f t="shared" si="51"/>
        <v>#REF!</v>
      </c>
      <c r="CJ41" s="48" t="str">
        <f t="shared" si="52"/>
        <v>#REF!</v>
      </c>
      <c r="CK41" s="48" t="str">
        <f t="shared" si="53"/>
        <v>#REF!</v>
      </c>
      <c r="CL41" s="48" t="str">
        <f t="shared" si="54"/>
        <v>#REF!</v>
      </c>
      <c r="CM41" s="47" t="str">
        <f t="shared" si="55"/>
        <v>#REF!</v>
      </c>
      <c r="CN41" s="47" t="str">
        <f t="shared" si="56"/>
        <v>#REF!</v>
      </c>
      <c r="CO41" s="47" t="str">
        <f t="shared" si="57"/>
        <v>#REF!</v>
      </c>
      <c r="CP41" s="47" t="str">
        <f t="shared" si="58"/>
        <v>#REF!</v>
      </c>
      <c r="CQ41" s="48"/>
      <c r="CR41" s="47" t="str">
        <f t="shared" ref="CR41:CU41" si="328">(M41-BY41)/M41</f>
        <v>#REF!</v>
      </c>
      <c r="CS41" s="47" t="str">
        <f t="shared" si="328"/>
        <v>#REF!</v>
      </c>
      <c r="CT41" s="47" t="str">
        <f t="shared" si="328"/>
        <v>#REF!</v>
      </c>
      <c r="CU41" s="47" t="str">
        <f t="shared" si="328"/>
        <v>#REF!</v>
      </c>
      <c r="CV41" s="48"/>
      <c r="CW41" s="47" t="str">
        <f t="shared" si="60"/>
        <v>#REF!</v>
      </c>
      <c r="CX41" s="47" t="str">
        <f t="shared" ref="CX41:CY41" si="329">(R41-CI41)/R41</f>
        <v>#REF!</v>
      </c>
      <c r="CY41" s="47" t="str">
        <f t="shared" si="329"/>
        <v>#REF!</v>
      </c>
      <c r="CZ41" s="47" t="str">
        <f t="shared" ref="CZ41:DA41" si="330">(T41-CD41)/T41</f>
        <v>#REF!</v>
      </c>
      <c r="DA41" s="47" t="str">
        <f t="shared" si="330"/>
        <v>#REF!</v>
      </c>
      <c r="DB41" s="48"/>
      <c r="DC41" s="47" t="str">
        <f t="shared" ref="DC41:DE41" si="331">MAX(0,CN41)*$DB41</f>
        <v>#REF!</v>
      </c>
      <c r="DD41" s="47" t="str">
        <f t="shared" si="331"/>
        <v>#REF!</v>
      </c>
      <c r="DE41" s="47" t="str">
        <f t="shared" si="331"/>
        <v>#REF!</v>
      </c>
      <c r="DF41" s="47" t="str">
        <f t="shared" ref="DF41:DI41" si="332">MAX(0,CR41)*$DB41</f>
        <v>#REF!</v>
      </c>
      <c r="DG41" s="47" t="str">
        <f t="shared" si="332"/>
        <v>#REF!</v>
      </c>
      <c r="DH41" s="47" t="str">
        <f t="shared" si="332"/>
        <v>#REF!</v>
      </c>
      <c r="DI41" s="47" t="str">
        <f t="shared" si="332"/>
        <v>#REF!</v>
      </c>
      <c r="DJ41" s="47" t="str">
        <f t="shared" ref="DJ41:DN41" si="333">MAX(0,CW41)*$DB41</f>
        <v>#REF!</v>
      </c>
      <c r="DK41" s="47" t="str">
        <f t="shared" si="333"/>
        <v>#REF!</v>
      </c>
      <c r="DL41" s="47" t="str">
        <f t="shared" si="333"/>
        <v>#REF!</v>
      </c>
      <c r="DM41" s="47" t="str">
        <f t="shared" si="333"/>
        <v>#REF!</v>
      </c>
      <c r="DN41" s="47" t="str">
        <f t="shared" si="333"/>
        <v>#REF!</v>
      </c>
      <c r="DO41" s="45"/>
      <c r="DP41" s="45"/>
      <c r="DQ41" s="45"/>
      <c r="DR41" s="45"/>
      <c r="DS41" s="45"/>
      <c r="DT41" s="45"/>
      <c r="DU41" s="45"/>
      <c r="DV41" s="55">
        <f t="shared" si="66"/>
        <v>0</v>
      </c>
      <c r="DW41" s="56"/>
      <c r="DX41" s="67"/>
    </row>
    <row r="42" ht="14.25" customHeight="1">
      <c r="A42" s="34" t="s">
        <v>33</v>
      </c>
      <c r="B42" s="68"/>
      <c r="C42" s="59" t="str">
        <f t="shared" si="211"/>
        <v/>
      </c>
      <c r="D42" s="59" t="str">
        <f t="shared" si="212"/>
        <v/>
      </c>
      <c r="E42" s="60" t="str">
        <f t="shared" si="213"/>
        <v/>
      </c>
      <c r="F42" s="72">
        <f t="shared" si="279"/>
        <v>0</v>
      </c>
      <c r="G42" s="59" t="str">
        <f t="shared" si="214"/>
        <v/>
      </c>
      <c r="H42" s="59" t="str">
        <f t="shared" si="215"/>
        <v/>
      </c>
      <c r="I42" s="62"/>
      <c r="J42" s="43"/>
      <c r="K42" s="43"/>
      <c r="L42" s="43"/>
      <c r="M42" s="43"/>
      <c r="N42" s="43"/>
      <c r="O42" s="43"/>
      <c r="P42" s="63"/>
      <c r="Q42" s="63"/>
      <c r="R42" s="43"/>
      <c r="S42" s="43"/>
      <c r="T42" s="43"/>
      <c r="U42" s="43"/>
      <c r="V42" s="43">
        <f t="shared" si="10"/>
        <v>0</v>
      </c>
      <c r="W42" s="45" t="str">
        <f t="shared" si="11"/>
        <v>#DIV/0!</v>
      </c>
      <c r="X42" s="45" t="str">
        <f t="shared" si="12"/>
        <v>#DIV/0!</v>
      </c>
      <c r="Y42" s="43">
        <f t="shared" si="13"/>
        <v>0</v>
      </c>
      <c r="Z42" s="43">
        <f t="shared" si="14"/>
        <v>0</v>
      </c>
      <c r="AA42" s="43">
        <f t="shared" si="15"/>
        <v>0</v>
      </c>
      <c r="AB42" s="43">
        <f t="shared" si="16"/>
        <v>0</v>
      </c>
      <c r="AC42" s="43">
        <f t="shared" si="17"/>
        <v>0</v>
      </c>
      <c r="AD42" s="43">
        <f t="shared" si="18"/>
        <v>0</v>
      </c>
      <c r="AE42" s="44"/>
      <c r="AF42" s="45" t="str">
        <f t="shared" si="19"/>
        <v>#DIV/0!</v>
      </c>
      <c r="AG42" s="45" t="str">
        <f t="shared" si="20"/>
        <v>#DIV/0!</v>
      </c>
      <c r="AH42" s="45" t="str">
        <f t="shared" si="21"/>
        <v>#DIV/0!</v>
      </c>
      <c r="AI42" s="45" t="str">
        <f t="shared" si="22"/>
        <v>#DIV/0!</v>
      </c>
      <c r="AJ42" s="45" t="str">
        <f t="shared" si="23"/>
        <v>#DIV/0!</v>
      </c>
      <c r="AK42" s="44"/>
      <c r="AL42" s="45" t="str">
        <f t="shared" si="24"/>
        <v>#DIV/0!</v>
      </c>
      <c r="AM42" s="70" t="str">
        <f t="shared" si="25"/>
        <v>#DIV/0!</v>
      </c>
      <c r="AN42" s="47" t="str">
        <f t="shared" si="26"/>
        <v>#NUM!</v>
      </c>
      <c r="AO42" s="47" t="str">
        <f t="shared" si="27"/>
        <v>#NUM!</v>
      </c>
      <c r="AP42" s="73">
        <f t="shared" si="28"/>
        <v>0.465</v>
      </c>
      <c r="AQ42" s="47" t="str">
        <f t="shared" si="29"/>
        <v>#DIV/0!</v>
      </c>
      <c r="AR42" s="47" t="str">
        <f t="shared" si="30"/>
        <v>#DIV/0!</v>
      </c>
      <c r="AS42" s="48"/>
      <c r="AT42" s="47" t="str">
        <f t="shared" si="31"/>
        <v>#DIV/0!</v>
      </c>
      <c r="AU42" s="71" t="str">
        <f t="shared" si="32"/>
        <v/>
      </c>
      <c r="AV42" s="47">
        <f t="shared" si="33"/>
        <v>-15</v>
      </c>
      <c r="AW42" s="48" t="str">
        <f t="shared" si="34"/>
        <v/>
      </c>
      <c r="AX42" s="47" t="str">
        <f t="shared" si="35"/>
        <v>#DIV/0!</v>
      </c>
      <c r="AY42" s="47">
        <f t="shared" si="36"/>
        <v>0.4375</v>
      </c>
      <c r="AZ42" s="47">
        <f t="shared" si="37"/>
        <v>0.6956521739</v>
      </c>
      <c r="BA42" s="52"/>
      <c r="BB42" s="48"/>
      <c r="BC42" s="48"/>
      <c r="BD42" s="47" t="str">
        <f t="shared" si="38"/>
        <v>#DIV/0!</v>
      </c>
      <c r="BE42" s="47" t="str">
        <f t="shared" si="39"/>
        <v>#DIV/0!</v>
      </c>
      <c r="BF42" s="48" t="str">
        <f t="shared" ref="BF42:BK42" si="334">L42</f>
        <v/>
      </c>
      <c r="BG42" s="48" t="str">
        <f t="shared" si="334"/>
        <v/>
      </c>
      <c r="BH42" s="48" t="str">
        <f t="shared" si="334"/>
        <v/>
      </c>
      <c r="BI42" s="48" t="str">
        <f t="shared" si="334"/>
        <v/>
      </c>
      <c r="BJ42" s="48" t="str">
        <f t="shared" si="334"/>
        <v/>
      </c>
      <c r="BK42" s="48" t="str">
        <f t="shared" si="334"/>
        <v/>
      </c>
      <c r="BL42" s="48" t="str">
        <f t="shared" si="41"/>
        <v/>
      </c>
      <c r="BM42" s="48">
        <f t="shared" si="42"/>
        <v>0</v>
      </c>
      <c r="BN42" s="48">
        <f t="shared" si="43"/>
        <v>0</v>
      </c>
      <c r="BO42" s="48">
        <f t="shared" si="44"/>
        <v>0</v>
      </c>
      <c r="BP42" s="47" t="str">
        <f t="shared" si="45"/>
        <v>#DIV/0!</v>
      </c>
      <c r="BQ42" s="54"/>
      <c r="BR42" s="54"/>
      <c r="BS42" s="54"/>
      <c r="BT42" s="47" t="str">
        <f t="shared" si="46"/>
        <v>#NUM!</v>
      </c>
      <c r="BU42" s="48"/>
      <c r="BV42" s="48">
        <f t="shared" si="47"/>
        <v>3</v>
      </c>
      <c r="BW42" s="48" t="str">
        <f t="shared" ref="BW42:CA42" si="335">MAX(($BU42*BW$58)+BW$59,2)</f>
        <v>#REF!</v>
      </c>
      <c r="BX42" s="48" t="str">
        <f t="shared" si="335"/>
        <v>#REF!</v>
      </c>
      <c r="BY42" s="48" t="str">
        <f t="shared" si="335"/>
        <v>#REF!</v>
      </c>
      <c r="BZ42" s="48" t="str">
        <f t="shared" si="335"/>
        <v>#REF!</v>
      </c>
      <c r="CA42" s="48" t="str">
        <f t="shared" si="335"/>
        <v>#REF!</v>
      </c>
      <c r="CB42" s="48" t="str">
        <f t="shared" si="49"/>
        <v>#REF!</v>
      </c>
      <c r="CC42" s="48" t="str">
        <f t="shared" ref="CC42:CH42" si="336">MAX(($BU42*CC$58)+CC$59,2)</f>
        <v>#REF!</v>
      </c>
      <c r="CD42" s="48" t="str">
        <f t="shared" si="336"/>
        <v>#REF!</v>
      </c>
      <c r="CE42" s="48" t="str">
        <f t="shared" si="336"/>
        <v>#REF!</v>
      </c>
      <c r="CF42" s="48" t="str">
        <f t="shared" si="336"/>
        <v>#REF!</v>
      </c>
      <c r="CG42" s="48" t="str">
        <f t="shared" si="336"/>
        <v>#REF!</v>
      </c>
      <c r="CH42" s="48" t="str">
        <f t="shared" si="336"/>
        <v>#REF!</v>
      </c>
      <c r="CI42" s="48" t="str">
        <f t="shared" si="51"/>
        <v>#REF!</v>
      </c>
      <c r="CJ42" s="48" t="str">
        <f t="shared" si="52"/>
        <v>#REF!</v>
      </c>
      <c r="CK42" s="48" t="str">
        <f t="shared" si="53"/>
        <v>#REF!</v>
      </c>
      <c r="CL42" s="48" t="str">
        <f t="shared" si="54"/>
        <v>#REF!</v>
      </c>
      <c r="CM42" s="47" t="str">
        <f t="shared" si="55"/>
        <v>#REF!</v>
      </c>
      <c r="CN42" s="47" t="str">
        <f t="shared" si="56"/>
        <v>#REF!</v>
      </c>
      <c r="CO42" s="47" t="str">
        <f t="shared" si="57"/>
        <v>#REF!</v>
      </c>
      <c r="CP42" s="47" t="str">
        <f t="shared" si="58"/>
        <v>#REF!</v>
      </c>
      <c r="CQ42" s="48"/>
      <c r="CR42" s="47" t="str">
        <f t="shared" ref="CR42:CU42" si="337">(M42-BY42)/M42</f>
        <v>#REF!</v>
      </c>
      <c r="CS42" s="47" t="str">
        <f t="shared" si="337"/>
        <v>#REF!</v>
      </c>
      <c r="CT42" s="47" t="str">
        <f t="shared" si="337"/>
        <v>#REF!</v>
      </c>
      <c r="CU42" s="47" t="str">
        <f t="shared" si="337"/>
        <v>#REF!</v>
      </c>
      <c r="CV42" s="48"/>
      <c r="CW42" s="47" t="str">
        <f t="shared" si="60"/>
        <v>#REF!</v>
      </c>
      <c r="CX42" s="47" t="str">
        <f t="shared" ref="CX42:CY42" si="338">(R42-CI42)/R42</f>
        <v>#REF!</v>
      </c>
      <c r="CY42" s="47" t="str">
        <f t="shared" si="338"/>
        <v>#REF!</v>
      </c>
      <c r="CZ42" s="47" t="str">
        <f t="shared" ref="CZ42:DA42" si="339">(T42-CD42)/T42</f>
        <v>#REF!</v>
      </c>
      <c r="DA42" s="47" t="str">
        <f t="shared" si="339"/>
        <v>#REF!</v>
      </c>
      <c r="DB42" s="48"/>
      <c r="DC42" s="47" t="str">
        <f t="shared" ref="DC42:DE42" si="340">MAX(0,CN42)*$DB42</f>
        <v>#REF!</v>
      </c>
      <c r="DD42" s="47" t="str">
        <f t="shared" si="340"/>
        <v>#REF!</v>
      </c>
      <c r="DE42" s="47" t="str">
        <f t="shared" si="340"/>
        <v>#REF!</v>
      </c>
      <c r="DF42" s="47" t="str">
        <f t="shared" ref="DF42:DI42" si="341">MAX(0,CR42)*$DB42</f>
        <v>#REF!</v>
      </c>
      <c r="DG42" s="47" t="str">
        <f t="shared" si="341"/>
        <v>#REF!</v>
      </c>
      <c r="DH42" s="47" t="str">
        <f t="shared" si="341"/>
        <v>#REF!</v>
      </c>
      <c r="DI42" s="47" t="str">
        <f t="shared" si="341"/>
        <v>#REF!</v>
      </c>
      <c r="DJ42" s="47" t="str">
        <f t="shared" ref="DJ42:DN42" si="342">MAX(0,CW42)*$DB42</f>
        <v>#REF!</v>
      </c>
      <c r="DK42" s="47" t="str">
        <f t="shared" si="342"/>
        <v>#REF!</v>
      </c>
      <c r="DL42" s="47" t="str">
        <f t="shared" si="342"/>
        <v>#REF!</v>
      </c>
      <c r="DM42" s="47" t="str">
        <f t="shared" si="342"/>
        <v>#REF!</v>
      </c>
      <c r="DN42" s="47" t="str">
        <f t="shared" si="342"/>
        <v>#REF!</v>
      </c>
      <c r="DO42" s="45"/>
      <c r="DP42" s="45"/>
      <c r="DQ42" s="45"/>
      <c r="DR42" s="45"/>
      <c r="DS42" s="45"/>
      <c r="DT42" s="45"/>
      <c r="DU42" s="45"/>
      <c r="DV42" s="66">
        <f t="shared" si="66"/>
        <v>0</v>
      </c>
      <c r="DW42" s="56"/>
      <c r="DX42" s="67"/>
    </row>
    <row r="43" ht="14.25" customHeight="1">
      <c r="A43" s="34" t="s">
        <v>33</v>
      </c>
      <c r="B43" s="68"/>
      <c r="C43" s="59" t="str">
        <f t="shared" si="211"/>
        <v/>
      </c>
      <c r="D43" s="59" t="str">
        <f t="shared" si="212"/>
        <v/>
      </c>
      <c r="E43" s="60" t="str">
        <f t="shared" si="213"/>
        <v/>
      </c>
      <c r="F43" s="72">
        <f t="shared" si="279"/>
        <v>0</v>
      </c>
      <c r="G43" s="59" t="str">
        <f t="shared" si="214"/>
        <v/>
      </c>
      <c r="H43" s="59" t="str">
        <f t="shared" si="215"/>
        <v/>
      </c>
      <c r="I43" s="62"/>
      <c r="J43" s="43"/>
      <c r="K43" s="43"/>
      <c r="L43" s="43"/>
      <c r="M43" s="43"/>
      <c r="N43" s="43"/>
      <c r="O43" s="43"/>
      <c r="P43" s="63"/>
      <c r="Q43" s="63"/>
      <c r="R43" s="43"/>
      <c r="S43" s="43"/>
      <c r="T43" s="43"/>
      <c r="U43" s="43"/>
      <c r="V43" s="43">
        <f t="shared" si="10"/>
        <v>0</v>
      </c>
      <c r="W43" s="45" t="str">
        <f t="shared" si="11"/>
        <v>#DIV/0!</v>
      </c>
      <c r="X43" s="45" t="str">
        <f t="shared" si="12"/>
        <v>#DIV/0!</v>
      </c>
      <c r="Y43" s="43">
        <f t="shared" si="13"/>
        <v>0</v>
      </c>
      <c r="Z43" s="43">
        <f t="shared" si="14"/>
        <v>0</v>
      </c>
      <c r="AA43" s="43">
        <f t="shared" si="15"/>
        <v>0</v>
      </c>
      <c r="AB43" s="43">
        <f t="shared" si="16"/>
        <v>0</v>
      </c>
      <c r="AC43" s="43">
        <f t="shared" si="17"/>
        <v>0</v>
      </c>
      <c r="AD43" s="43">
        <f t="shared" si="18"/>
        <v>0</v>
      </c>
      <c r="AE43" s="44"/>
      <c r="AF43" s="45" t="str">
        <f t="shared" si="19"/>
        <v>#DIV/0!</v>
      </c>
      <c r="AG43" s="45" t="str">
        <f t="shared" si="20"/>
        <v>#DIV/0!</v>
      </c>
      <c r="AH43" s="45" t="str">
        <f t="shared" si="21"/>
        <v>#DIV/0!</v>
      </c>
      <c r="AI43" s="45" t="str">
        <f t="shared" si="22"/>
        <v>#DIV/0!</v>
      </c>
      <c r="AJ43" s="45" t="str">
        <f t="shared" si="23"/>
        <v>#DIV/0!</v>
      </c>
      <c r="AK43" s="44"/>
      <c r="AL43" s="45" t="str">
        <f t="shared" si="24"/>
        <v>#DIV/0!</v>
      </c>
      <c r="AM43" s="70" t="str">
        <f t="shared" si="25"/>
        <v>#DIV/0!</v>
      </c>
      <c r="AN43" s="47" t="str">
        <f t="shared" si="26"/>
        <v>#NUM!</v>
      </c>
      <c r="AO43" s="47" t="str">
        <f t="shared" si="27"/>
        <v>#NUM!</v>
      </c>
      <c r="AP43" s="73">
        <f t="shared" si="28"/>
        <v>0.465</v>
      </c>
      <c r="AQ43" s="47" t="str">
        <f t="shared" si="29"/>
        <v>#DIV/0!</v>
      </c>
      <c r="AR43" s="47" t="str">
        <f t="shared" si="30"/>
        <v>#DIV/0!</v>
      </c>
      <c r="AS43" s="48"/>
      <c r="AT43" s="47" t="str">
        <f t="shared" si="31"/>
        <v>#DIV/0!</v>
      </c>
      <c r="AU43" s="71" t="str">
        <f t="shared" si="32"/>
        <v/>
      </c>
      <c r="AV43" s="47">
        <f t="shared" si="33"/>
        <v>-15</v>
      </c>
      <c r="AW43" s="48" t="str">
        <f t="shared" si="34"/>
        <v/>
      </c>
      <c r="AX43" s="47" t="str">
        <f t="shared" si="35"/>
        <v>#DIV/0!</v>
      </c>
      <c r="AY43" s="47">
        <f t="shared" si="36"/>
        <v>0.4375</v>
      </c>
      <c r="AZ43" s="47">
        <f t="shared" si="37"/>
        <v>0.6956521739</v>
      </c>
      <c r="BA43" s="52"/>
      <c r="BB43" s="48"/>
      <c r="BC43" s="48"/>
      <c r="BD43" s="47" t="str">
        <f t="shared" si="38"/>
        <v>#DIV/0!</v>
      </c>
      <c r="BE43" s="47" t="str">
        <f t="shared" si="39"/>
        <v>#DIV/0!</v>
      </c>
      <c r="BF43" s="48" t="str">
        <f t="shared" ref="BF43:BK43" si="343">L43</f>
        <v/>
      </c>
      <c r="BG43" s="48" t="str">
        <f t="shared" si="343"/>
        <v/>
      </c>
      <c r="BH43" s="48" t="str">
        <f t="shared" si="343"/>
        <v/>
      </c>
      <c r="BI43" s="48" t="str">
        <f t="shared" si="343"/>
        <v/>
      </c>
      <c r="BJ43" s="48" t="str">
        <f t="shared" si="343"/>
        <v/>
      </c>
      <c r="BK43" s="48" t="str">
        <f t="shared" si="343"/>
        <v/>
      </c>
      <c r="BL43" s="48" t="str">
        <f t="shared" si="41"/>
        <v/>
      </c>
      <c r="BM43" s="48">
        <f t="shared" si="42"/>
        <v>0</v>
      </c>
      <c r="BN43" s="48">
        <f t="shared" si="43"/>
        <v>0</v>
      </c>
      <c r="BO43" s="48">
        <f t="shared" si="44"/>
        <v>0</v>
      </c>
      <c r="BP43" s="47" t="str">
        <f t="shared" si="45"/>
        <v>#DIV/0!</v>
      </c>
      <c r="BQ43" s="54"/>
      <c r="BR43" s="54"/>
      <c r="BS43" s="54"/>
      <c r="BT43" s="47" t="str">
        <f t="shared" si="46"/>
        <v>#NUM!</v>
      </c>
      <c r="BU43" s="48"/>
      <c r="BV43" s="48">
        <f t="shared" si="47"/>
        <v>3</v>
      </c>
      <c r="BW43" s="48" t="str">
        <f t="shared" ref="BW43:CA43" si="344">MAX(($BU43*BW$58)+BW$59,2)</f>
        <v>#REF!</v>
      </c>
      <c r="BX43" s="48" t="str">
        <f t="shared" si="344"/>
        <v>#REF!</v>
      </c>
      <c r="BY43" s="48" t="str">
        <f t="shared" si="344"/>
        <v>#REF!</v>
      </c>
      <c r="BZ43" s="48" t="str">
        <f t="shared" si="344"/>
        <v>#REF!</v>
      </c>
      <c r="CA43" s="48" t="str">
        <f t="shared" si="344"/>
        <v>#REF!</v>
      </c>
      <c r="CB43" s="48" t="str">
        <f t="shared" si="49"/>
        <v>#REF!</v>
      </c>
      <c r="CC43" s="48" t="str">
        <f t="shared" ref="CC43:CH43" si="345">MAX(($BU43*CC$58)+CC$59,2)</f>
        <v>#REF!</v>
      </c>
      <c r="CD43" s="48" t="str">
        <f t="shared" si="345"/>
        <v>#REF!</v>
      </c>
      <c r="CE43" s="48" t="str">
        <f t="shared" si="345"/>
        <v>#REF!</v>
      </c>
      <c r="CF43" s="48" t="str">
        <f t="shared" si="345"/>
        <v>#REF!</v>
      </c>
      <c r="CG43" s="48" t="str">
        <f t="shared" si="345"/>
        <v>#REF!</v>
      </c>
      <c r="CH43" s="48" t="str">
        <f t="shared" si="345"/>
        <v>#REF!</v>
      </c>
      <c r="CI43" s="48" t="str">
        <f t="shared" si="51"/>
        <v>#REF!</v>
      </c>
      <c r="CJ43" s="48" t="str">
        <f t="shared" si="52"/>
        <v>#REF!</v>
      </c>
      <c r="CK43" s="48" t="str">
        <f t="shared" si="53"/>
        <v>#REF!</v>
      </c>
      <c r="CL43" s="48" t="str">
        <f t="shared" si="54"/>
        <v>#REF!</v>
      </c>
      <c r="CM43" s="47" t="str">
        <f t="shared" si="55"/>
        <v>#REF!</v>
      </c>
      <c r="CN43" s="47" t="str">
        <f t="shared" si="56"/>
        <v>#REF!</v>
      </c>
      <c r="CO43" s="47" t="str">
        <f t="shared" si="57"/>
        <v>#REF!</v>
      </c>
      <c r="CP43" s="47" t="str">
        <f t="shared" si="58"/>
        <v>#REF!</v>
      </c>
      <c r="CQ43" s="48"/>
      <c r="CR43" s="47" t="str">
        <f t="shared" ref="CR43:CU43" si="346">(M43-BY43)/M43</f>
        <v>#REF!</v>
      </c>
      <c r="CS43" s="47" t="str">
        <f t="shared" si="346"/>
        <v>#REF!</v>
      </c>
      <c r="CT43" s="47" t="str">
        <f t="shared" si="346"/>
        <v>#REF!</v>
      </c>
      <c r="CU43" s="47" t="str">
        <f t="shared" si="346"/>
        <v>#REF!</v>
      </c>
      <c r="CV43" s="48"/>
      <c r="CW43" s="47" t="str">
        <f t="shared" si="60"/>
        <v>#REF!</v>
      </c>
      <c r="CX43" s="47" t="str">
        <f t="shared" ref="CX43:CY43" si="347">(R43-CI43)/R43</f>
        <v>#REF!</v>
      </c>
      <c r="CY43" s="47" t="str">
        <f t="shared" si="347"/>
        <v>#REF!</v>
      </c>
      <c r="CZ43" s="47" t="str">
        <f t="shared" ref="CZ43:DA43" si="348">(T43-CD43)/T43</f>
        <v>#REF!</v>
      </c>
      <c r="DA43" s="47" t="str">
        <f t="shared" si="348"/>
        <v>#REF!</v>
      </c>
      <c r="DB43" s="48"/>
      <c r="DC43" s="47" t="str">
        <f t="shared" ref="DC43:DE43" si="349">MAX(0,CN43)*$DB43</f>
        <v>#REF!</v>
      </c>
      <c r="DD43" s="47" t="str">
        <f t="shared" si="349"/>
        <v>#REF!</v>
      </c>
      <c r="DE43" s="47" t="str">
        <f t="shared" si="349"/>
        <v>#REF!</v>
      </c>
      <c r="DF43" s="47" t="str">
        <f t="shared" ref="DF43:DI43" si="350">MAX(0,CR43)*$DB43</f>
        <v>#REF!</v>
      </c>
      <c r="DG43" s="47" t="str">
        <f t="shared" si="350"/>
        <v>#REF!</v>
      </c>
      <c r="DH43" s="47" t="str">
        <f t="shared" si="350"/>
        <v>#REF!</v>
      </c>
      <c r="DI43" s="47" t="str">
        <f t="shared" si="350"/>
        <v>#REF!</v>
      </c>
      <c r="DJ43" s="47" t="str">
        <f t="shared" ref="DJ43:DN43" si="351">MAX(0,CW43)*$DB43</f>
        <v>#REF!</v>
      </c>
      <c r="DK43" s="47" t="str">
        <f t="shared" si="351"/>
        <v>#REF!</v>
      </c>
      <c r="DL43" s="47" t="str">
        <f t="shared" si="351"/>
        <v>#REF!</v>
      </c>
      <c r="DM43" s="47" t="str">
        <f t="shared" si="351"/>
        <v>#REF!</v>
      </c>
      <c r="DN43" s="47" t="str">
        <f t="shared" si="351"/>
        <v>#REF!</v>
      </c>
      <c r="DO43" s="45"/>
      <c r="DP43" s="45"/>
      <c r="DQ43" s="45"/>
      <c r="DR43" s="45"/>
      <c r="DS43" s="45"/>
      <c r="DT43" s="45"/>
      <c r="DU43" s="45"/>
      <c r="DV43" s="55">
        <f t="shared" si="66"/>
        <v>0</v>
      </c>
      <c r="DW43" s="56"/>
      <c r="DX43" s="67"/>
    </row>
    <row r="44" ht="14.25" customHeight="1">
      <c r="A44" s="34" t="s">
        <v>33</v>
      </c>
      <c r="B44" s="68"/>
      <c r="C44" s="59" t="str">
        <f t="shared" si="211"/>
        <v/>
      </c>
      <c r="D44" s="59" t="str">
        <f t="shared" si="212"/>
        <v/>
      </c>
      <c r="E44" s="60" t="str">
        <f t="shared" si="213"/>
        <v/>
      </c>
      <c r="F44" s="72">
        <f t="shared" si="279"/>
        <v>0</v>
      </c>
      <c r="G44" s="59" t="str">
        <f t="shared" si="214"/>
        <v/>
      </c>
      <c r="H44" s="59" t="str">
        <f t="shared" si="215"/>
        <v/>
      </c>
      <c r="I44" s="62"/>
      <c r="J44" s="43"/>
      <c r="K44" s="43"/>
      <c r="L44" s="43"/>
      <c r="M44" s="43"/>
      <c r="N44" s="43"/>
      <c r="O44" s="43"/>
      <c r="P44" s="63"/>
      <c r="Q44" s="63"/>
      <c r="R44" s="43"/>
      <c r="S44" s="43"/>
      <c r="T44" s="43"/>
      <c r="U44" s="43"/>
      <c r="V44" s="43">
        <f t="shared" si="10"/>
        <v>0</v>
      </c>
      <c r="W44" s="45" t="str">
        <f t="shared" si="11"/>
        <v>#DIV/0!</v>
      </c>
      <c r="X44" s="45" t="str">
        <f t="shared" si="12"/>
        <v>#DIV/0!</v>
      </c>
      <c r="Y44" s="43">
        <f t="shared" si="13"/>
        <v>0</v>
      </c>
      <c r="Z44" s="43">
        <f t="shared" si="14"/>
        <v>0</v>
      </c>
      <c r="AA44" s="43">
        <f t="shared" si="15"/>
        <v>0</v>
      </c>
      <c r="AB44" s="43">
        <f t="shared" si="16"/>
        <v>0</v>
      </c>
      <c r="AC44" s="43">
        <f t="shared" si="17"/>
        <v>0</v>
      </c>
      <c r="AD44" s="43">
        <f t="shared" si="18"/>
        <v>0</v>
      </c>
      <c r="AE44" s="44"/>
      <c r="AF44" s="45" t="str">
        <f t="shared" si="19"/>
        <v>#DIV/0!</v>
      </c>
      <c r="AG44" s="45" t="str">
        <f t="shared" si="20"/>
        <v>#DIV/0!</v>
      </c>
      <c r="AH44" s="45" t="str">
        <f t="shared" si="21"/>
        <v>#DIV/0!</v>
      </c>
      <c r="AI44" s="45" t="str">
        <f t="shared" si="22"/>
        <v>#DIV/0!</v>
      </c>
      <c r="AJ44" s="45" t="str">
        <f t="shared" si="23"/>
        <v>#DIV/0!</v>
      </c>
      <c r="AK44" s="44"/>
      <c r="AL44" s="45" t="str">
        <f t="shared" si="24"/>
        <v>#DIV/0!</v>
      </c>
      <c r="AM44" s="70" t="str">
        <f t="shared" si="25"/>
        <v>#DIV/0!</v>
      </c>
      <c r="AN44" s="47" t="str">
        <f t="shared" si="26"/>
        <v>#NUM!</v>
      </c>
      <c r="AO44" s="47" t="str">
        <f t="shared" si="27"/>
        <v>#NUM!</v>
      </c>
      <c r="AP44" s="73">
        <f t="shared" si="28"/>
        <v>0.465</v>
      </c>
      <c r="AQ44" s="47" t="str">
        <f t="shared" si="29"/>
        <v>#DIV/0!</v>
      </c>
      <c r="AR44" s="47" t="str">
        <f t="shared" si="30"/>
        <v>#DIV/0!</v>
      </c>
      <c r="AS44" s="48"/>
      <c r="AT44" s="47" t="str">
        <f t="shared" si="31"/>
        <v>#DIV/0!</v>
      </c>
      <c r="AU44" s="71" t="str">
        <f t="shared" si="32"/>
        <v/>
      </c>
      <c r="AV44" s="47">
        <f t="shared" si="33"/>
        <v>-15</v>
      </c>
      <c r="AW44" s="48" t="str">
        <f t="shared" si="34"/>
        <v/>
      </c>
      <c r="AX44" s="47" t="str">
        <f t="shared" si="35"/>
        <v>#DIV/0!</v>
      </c>
      <c r="AY44" s="47">
        <f t="shared" si="36"/>
        <v>0.4375</v>
      </c>
      <c r="AZ44" s="47">
        <f t="shared" si="37"/>
        <v>0.6956521739</v>
      </c>
      <c r="BA44" s="52"/>
      <c r="BB44" s="48"/>
      <c r="BC44" s="48"/>
      <c r="BD44" s="47" t="str">
        <f t="shared" si="38"/>
        <v>#DIV/0!</v>
      </c>
      <c r="BE44" s="47" t="str">
        <f t="shared" si="39"/>
        <v>#DIV/0!</v>
      </c>
      <c r="BF44" s="48" t="str">
        <f t="shared" ref="BF44:BK44" si="352">L44</f>
        <v/>
      </c>
      <c r="BG44" s="48" t="str">
        <f t="shared" si="352"/>
        <v/>
      </c>
      <c r="BH44" s="48" t="str">
        <f t="shared" si="352"/>
        <v/>
      </c>
      <c r="BI44" s="48" t="str">
        <f t="shared" si="352"/>
        <v/>
      </c>
      <c r="BJ44" s="48" t="str">
        <f t="shared" si="352"/>
        <v/>
      </c>
      <c r="BK44" s="48" t="str">
        <f t="shared" si="352"/>
        <v/>
      </c>
      <c r="BL44" s="48" t="str">
        <f t="shared" si="41"/>
        <v/>
      </c>
      <c r="BM44" s="48">
        <f t="shared" si="42"/>
        <v>0</v>
      </c>
      <c r="BN44" s="48">
        <f t="shared" si="43"/>
        <v>0</v>
      </c>
      <c r="BO44" s="48">
        <f t="shared" si="44"/>
        <v>0</v>
      </c>
      <c r="BP44" s="47" t="str">
        <f t="shared" si="45"/>
        <v>#DIV/0!</v>
      </c>
      <c r="BQ44" s="54"/>
      <c r="BR44" s="54"/>
      <c r="BS44" s="54"/>
      <c r="BT44" s="47" t="str">
        <f t="shared" si="46"/>
        <v>#NUM!</v>
      </c>
      <c r="BU44" s="48"/>
      <c r="BV44" s="48">
        <f t="shared" si="47"/>
        <v>3</v>
      </c>
      <c r="BW44" s="48" t="str">
        <f t="shared" ref="BW44:CA44" si="353">MAX(($BU44*BW$58)+BW$59,2)</f>
        <v>#REF!</v>
      </c>
      <c r="BX44" s="48" t="str">
        <f t="shared" si="353"/>
        <v>#REF!</v>
      </c>
      <c r="BY44" s="48" t="str">
        <f t="shared" si="353"/>
        <v>#REF!</v>
      </c>
      <c r="BZ44" s="48" t="str">
        <f t="shared" si="353"/>
        <v>#REF!</v>
      </c>
      <c r="CA44" s="48" t="str">
        <f t="shared" si="353"/>
        <v>#REF!</v>
      </c>
      <c r="CB44" s="48" t="str">
        <f t="shared" si="49"/>
        <v>#REF!</v>
      </c>
      <c r="CC44" s="48" t="str">
        <f t="shared" ref="CC44:CH44" si="354">MAX(($BU44*CC$58)+CC$59,2)</f>
        <v>#REF!</v>
      </c>
      <c r="CD44" s="48" t="str">
        <f t="shared" si="354"/>
        <v>#REF!</v>
      </c>
      <c r="CE44" s="48" t="str">
        <f t="shared" si="354"/>
        <v>#REF!</v>
      </c>
      <c r="CF44" s="48" t="str">
        <f t="shared" si="354"/>
        <v>#REF!</v>
      </c>
      <c r="CG44" s="48" t="str">
        <f t="shared" si="354"/>
        <v>#REF!</v>
      </c>
      <c r="CH44" s="48" t="str">
        <f t="shared" si="354"/>
        <v>#REF!</v>
      </c>
      <c r="CI44" s="48" t="str">
        <f t="shared" si="51"/>
        <v>#REF!</v>
      </c>
      <c r="CJ44" s="48" t="str">
        <f t="shared" si="52"/>
        <v>#REF!</v>
      </c>
      <c r="CK44" s="48" t="str">
        <f t="shared" si="53"/>
        <v>#REF!</v>
      </c>
      <c r="CL44" s="48" t="str">
        <f t="shared" si="54"/>
        <v>#REF!</v>
      </c>
      <c r="CM44" s="47" t="str">
        <f t="shared" si="55"/>
        <v>#REF!</v>
      </c>
      <c r="CN44" s="47" t="str">
        <f t="shared" si="56"/>
        <v>#REF!</v>
      </c>
      <c r="CO44" s="47" t="str">
        <f t="shared" si="57"/>
        <v>#REF!</v>
      </c>
      <c r="CP44" s="47" t="str">
        <f t="shared" si="58"/>
        <v>#REF!</v>
      </c>
      <c r="CQ44" s="48"/>
      <c r="CR44" s="47" t="str">
        <f t="shared" ref="CR44:CU44" si="355">(M44-BY44)/M44</f>
        <v>#REF!</v>
      </c>
      <c r="CS44" s="47" t="str">
        <f t="shared" si="355"/>
        <v>#REF!</v>
      </c>
      <c r="CT44" s="47" t="str">
        <f t="shared" si="355"/>
        <v>#REF!</v>
      </c>
      <c r="CU44" s="47" t="str">
        <f t="shared" si="355"/>
        <v>#REF!</v>
      </c>
      <c r="CV44" s="48"/>
      <c r="CW44" s="47" t="str">
        <f t="shared" si="60"/>
        <v>#REF!</v>
      </c>
      <c r="CX44" s="47" t="str">
        <f t="shared" ref="CX44:CY44" si="356">(R44-CI44)/R44</f>
        <v>#REF!</v>
      </c>
      <c r="CY44" s="47" t="str">
        <f t="shared" si="356"/>
        <v>#REF!</v>
      </c>
      <c r="CZ44" s="47" t="str">
        <f t="shared" ref="CZ44:DA44" si="357">(T44-CD44)/T44</f>
        <v>#REF!</v>
      </c>
      <c r="DA44" s="47" t="str">
        <f t="shared" si="357"/>
        <v>#REF!</v>
      </c>
      <c r="DB44" s="48"/>
      <c r="DC44" s="47" t="str">
        <f t="shared" ref="DC44:DE44" si="358">MAX(0,CN44)*$DB44</f>
        <v>#REF!</v>
      </c>
      <c r="DD44" s="47" t="str">
        <f t="shared" si="358"/>
        <v>#REF!</v>
      </c>
      <c r="DE44" s="47" t="str">
        <f t="shared" si="358"/>
        <v>#REF!</v>
      </c>
      <c r="DF44" s="47" t="str">
        <f t="shared" ref="DF44:DI44" si="359">MAX(0,CR44)*$DB44</f>
        <v>#REF!</v>
      </c>
      <c r="DG44" s="47" t="str">
        <f t="shared" si="359"/>
        <v>#REF!</v>
      </c>
      <c r="DH44" s="47" t="str">
        <f t="shared" si="359"/>
        <v>#REF!</v>
      </c>
      <c r="DI44" s="47" t="str">
        <f t="shared" si="359"/>
        <v>#REF!</v>
      </c>
      <c r="DJ44" s="47" t="str">
        <f t="shared" ref="DJ44:DN44" si="360">MAX(0,CW44)*$DB44</f>
        <v>#REF!</v>
      </c>
      <c r="DK44" s="47" t="str">
        <f t="shared" si="360"/>
        <v>#REF!</v>
      </c>
      <c r="DL44" s="47" t="str">
        <f t="shared" si="360"/>
        <v>#REF!</v>
      </c>
      <c r="DM44" s="47" t="str">
        <f t="shared" si="360"/>
        <v>#REF!</v>
      </c>
      <c r="DN44" s="47" t="str">
        <f t="shared" si="360"/>
        <v>#REF!</v>
      </c>
      <c r="DO44" s="45"/>
      <c r="DP44" s="45"/>
      <c r="DQ44" s="45"/>
      <c r="DR44" s="45"/>
      <c r="DS44" s="45"/>
      <c r="DT44" s="45"/>
      <c r="DU44" s="45"/>
      <c r="DV44" s="66">
        <f t="shared" si="66"/>
        <v>0</v>
      </c>
      <c r="DW44" s="56"/>
      <c r="DX44" s="67"/>
    </row>
    <row r="45" ht="15.0" customHeight="1">
      <c r="A45" s="34" t="s">
        <v>33</v>
      </c>
      <c r="B45" s="68"/>
      <c r="C45" s="59" t="str">
        <f t="shared" si="211"/>
        <v/>
      </c>
      <c r="D45" s="59" t="str">
        <f t="shared" si="212"/>
        <v/>
      </c>
      <c r="E45" s="60" t="str">
        <f t="shared" si="213"/>
        <v/>
      </c>
      <c r="F45" s="72">
        <f t="shared" si="279"/>
        <v>0</v>
      </c>
      <c r="G45" s="59" t="str">
        <f t="shared" si="214"/>
        <v/>
      </c>
      <c r="H45" s="59" t="str">
        <f t="shared" si="215"/>
        <v/>
      </c>
      <c r="I45" s="62"/>
      <c r="J45" s="43"/>
      <c r="K45" s="43"/>
      <c r="L45" s="43"/>
      <c r="M45" s="43"/>
      <c r="N45" s="43"/>
      <c r="O45" s="43"/>
      <c r="P45" s="63"/>
      <c r="Q45" s="63"/>
      <c r="R45" s="43"/>
      <c r="S45" s="43"/>
      <c r="T45" s="43"/>
      <c r="U45" s="43"/>
      <c r="V45" s="43">
        <f t="shared" si="10"/>
        <v>0</v>
      </c>
      <c r="W45" s="45" t="str">
        <f t="shared" si="11"/>
        <v>#DIV/0!</v>
      </c>
      <c r="X45" s="45" t="str">
        <f t="shared" si="12"/>
        <v>#DIV/0!</v>
      </c>
      <c r="Y45" s="43">
        <f t="shared" si="13"/>
        <v>0</v>
      </c>
      <c r="Z45" s="43">
        <f t="shared" si="14"/>
        <v>0</v>
      </c>
      <c r="AA45" s="43">
        <f t="shared" si="15"/>
        <v>0</v>
      </c>
      <c r="AB45" s="43">
        <f t="shared" si="16"/>
        <v>0</v>
      </c>
      <c r="AC45" s="43">
        <f t="shared" si="17"/>
        <v>0</v>
      </c>
      <c r="AD45" s="43">
        <f t="shared" si="18"/>
        <v>0</v>
      </c>
      <c r="AE45" s="44"/>
      <c r="AF45" s="45" t="str">
        <f t="shared" si="19"/>
        <v>#DIV/0!</v>
      </c>
      <c r="AG45" s="45" t="str">
        <f t="shared" si="20"/>
        <v>#DIV/0!</v>
      </c>
      <c r="AH45" s="45" t="str">
        <f t="shared" si="21"/>
        <v>#DIV/0!</v>
      </c>
      <c r="AI45" s="45" t="str">
        <f t="shared" si="22"/>
        <v>#DIV/0!</v>
      </c>
      <c r="AJ45" s="45" t="str">
        <f t="shared" si="23"/>
        <v>#DIV/0!</v>
      </c>
      <c r="AK45" s="44"/>
      <c r="AL45" s="45" t="str">
        <f t="shared" si="24"/>
        <v>#DIV/0!</v>
      </c>
      <c r="AM45" s="70" t="str">
        <f t="shared" si="25"/>
        <v>#DIV/0!</v>
      </c>
      <c r="AN45" s="47" t="str">
        <f t="shared" si="26"/>
        <v>#NUM!</v>
      </c>
      <c r="AO45" s="47" t="str">
        <f t="shared" si="27"/>
        <v>#NUM!</v>
      </c>
      <c r="AP45" s="73">
        <f t="shared" si="28"/>
        <v>0.465</v>
      </c>
      <c r="AQ45" s="47" t="str">
        <f t="shared" si="29"/>
        <v>#DIV/0!</v>
      </c>
      <c r="AR45" s="47" t="str">
        <f t="shared" si="30"/>
        <v>#DIV/0!</v>
      </c>
      <c r="AS45" s="48"/>
      <c r="AT45" s="47" t="str">
        <f t="shared" si="31"/>
        <v>#DIV/0!</v>
      </c>
      <c r="AU45" s="71" t="str">
        <f t="shared" si="32"/>
        <v/>
      </c>
      <c r="AV45" s="47">
        <f t="shared" si="33"/>
        <v>-15</v>
      </c>
      <c r="AW45" s="48" t="str">
        <f t="shared" si="34"/>
        <v/>
      </c>
      <c r="AX45" s="47" t="str">
        <f t="shared" si="35"/>
        <v>#DIV/0!</v>
      </c>
      <c r="AY45" s="47">
        <f t="shared" si="36"/>
        <v>0.4375</v>
      </c>
      <c r="AZ45" s="47">
        <f t="shared" si="37"/>
        <v>0.6956521739</v>
      </c>
      <c r="BA45" s="52"/>
      <c r="BB45" s="48"/>
      <c r="BC45" s="48"/>
      <c r="BD45" s="47" t="str">
        <f t="shared" si="38"/>
        <v>#DIV/0!</v>
      </c>
      <c r="BE45" s="47" t="str">
        <f t="shared" si="39"/>
        <v>#DIV/0!</v>
      </c>
      <c r="BF45" s="48" t="str">
        <f t="shared" ref="BF45:BK45" si="361">L45</f>
        <v/>
      </c>
      <c r="BG45" s="48" t="str">
        <f t="shared" si="361"/>
        <v/>
      </c>
      <c r="BH45" s="48" t="str">
        <f t="shared" si="361"/>
        <v/>
      </c>
      <c r="BI45" s="48" t="str">
        <f t="shared" si="361"/>
        <v/>
      </c>
      <c r="BJ45" s="48" t="str">
        <f t="shared" si="361"/>
        <v/>
      </c>
      <c r="BK45" s="48" t="str">
        <f t="shared" si="361"/>
        <v/>
      </c>
      <c r="BL45" s="48" t="str">
        <f t="shared" si="41"/>
        <v/>
      </c>
      <c r="BM45" s="48">
        <f t="shared" si="42"/>
        <v>0</v>
      </c>
      <c r="BN45" s="48">
        <f t="shared" si="43"/>
        <v>0</v>
      </c>
      <c r="BO45" s="48">
        <f t="shared" si="44"/>
        <v>0</v>
      </c>
      <c r="BP45" s="47" t="str">
        <f t="shared" si="45"/>
        <v>#DIV/0!</v>
      </c>
      <c r="BQ45" s="54"/>
      <c r="BR45" s="54"/>
      <c r="BS45" s="54"/>
      <c r="BT45" s="47" t="str">
        <f t="shared" si="46"/>
        <v>#NUM!</v>
      </c>
      <c r="BU45" s="48"/>
      <c r="BV45" s="48">
        <f t="shared" si="47"/>
        <v>3</v>
      </c>
      <c r="BW45" s="48" t="str">
        <f t="shared" ref="BW45:CA45" si="362">MAX(($BU45*BW$58)+BW$59,2)</f>
        <v>#REF!</v>
      </c>
      <c r="BX45" s="48" t="str">
        <f t="shared" si="362"/>
        <v>#REF!</v>
      </c>
      <c r="BY45" s="48" t="str">
        <f t="shared" si="362"/>
        <v>#REF!</v>
      </c>
      <c r="BZ45" s="48" t="str">
        <f t="shared" si="362"/>
        <v>#REF!</v>
      </c>
      <c r="CA45" s="48" t="str">
        <f t="shared" si="362"/>
        <v>#REF!</v>
      </c>
      <c r="CB45" s="48" t="str">
        <f t="shared" si="49"/>
        <v>#REF!</v>
      </c>
      <c r="CC45" s="48" t="str">
        <f t="shared" ref="CC45:CH45" si="363">MAX(($BU45*CC$58)+CC$59,2)</f>
        <v>#REF!</v>
      </c>
      <c r="CD45" s="48" t="str">
        <f t="shared" si="363"/>
        <v>#REF!</v>
      </c>
      <c r="CE45" s="48" t="str">
        <f t="shared" si="363"/>
        <v>#REF!</v>
      </c>
      <c r="CF45" s="48" t="str">
        <f t="shared" si="363"/>
        <v>#REF!</v>
      </c>
      <c r="CG45" s="48" t="str">
        <f t="shared" si="363"/>
        <v>#REF!</v>
      </c>
      <c r="CH45" s="48" t="str">
        <f t="shared" si="363"/>
        <v>#REF!</v>
      </c>
      <c r="CI45" s="48" t="str">
        <f t="shared" si="51"/>
        <v>#REF!</v>
      </c>
      <c r="CJ45" s="48" t="str">
        <f t="shared" si="52"/>
        <v>#REF!</v>
      </c>
      <c r="CK45" s="48" t="str">
        <f t="shared" si="53"/>
        <v>#REF!</v>
      </c>
      <c r="CL45" s="48" t="str">
        <f t="shared" si="54"/>
        <v>#REF!</v>
      </c>
      <c r="CM45" s="47" t="str">
        <f t="shared" si="55"/>
        <v>#REF!</v>
      </c>
      <c r="CN45" s="47" t="str">
        <f t="shared" si="56"/>
        <v>#REF!</v>
      </c>
      <c r="CO45" s="47" t="str">
        <f t="shared" si="57"/>
        <v>#REF!</v>
      </c>
      <c r="CP45" s="47" t="str">
        <f t="shared" si="58"/>
        <v>#REF!</v>
      </c>
      <c r="CQ45" s="48"/>
      <c r="CR45" s="47" t="str">
        <f t="shared" ref="CR45:CU45" si="364">(M45-BY45)/M45</f>
        <v>#REF!</v>
      </c>
      <c r="CS45" s="47" t="str">
        <f t="shared" si="364"/>
        <v>#REF!</v>
      </c>
      <c r="CT45" s="47" t="str">
        <f t="shared" si="364"/>
        <v>#REF!</v>
      </c>
      <c r="CU45" s="47" t="str">
        <f t="shared" si="364"/>
        <v>#REF!</v>
      </c>
      <c r="CV45" s="48"/>
      <c r="CW45" s="47" t="str">
        <f t="shared" si="60"/>
        <v>#REF!</v>
      </c>
      <c r="CX45" s="47" t="str">
        <f t="shared" ref="CX45:CY45" si="365">(R45-CI45)/R45</f>
        <v>#REF!</v>
      </c>
      <c r="CY45" s="47" t="str">
        <f t="shared" si="365"/>
        <v>#REF!</v>
      </c>
      <c r="CZ45" s="47" t="str">
        <f t="shared" ref="CZ45:DA45" si="366">(T45-CD45)/T45</f>
        <v>#REF!</v>
      </c>
      <c r="DA45" s="47" t="str">
        <f t="shared" si="366"/>
        <v>#REF!</v>
      </c>
      <c r="DB45" s="48"/>
      <c r="DC45" s="47" t="str">
        <f t="shared" ref="DC45:DE45" si="367">MAX(0,CN45)*$DB45</f>
        <v>#REF!</v>
      </c>
      <c r="DD45" s="47" t="str">
        <f t="shared" si="367"/>
        <v>#REF!</v>
      </c>
      <c r="DE45" s="47" t="str">
        <f t="shared" si="367"/>
        <v>#REF!</v>
      </c>
      <c r="DF45" s="47" t="str">
        <f t="shared" ref="DF45:DI45" si="368">MAX(0,CR45)*$DB45</f>
        <v>#REF!</v>
      </c>
      <c r="DG45" s="47" t="str">
        <f t="shared" si="368"/>
        <v>#REF!</v>
      </c>
      <c r="DH45" s="47" t="str">
        <f t="shared" si="368"/>
        <v>#REF!</v>
      </c>
      <c r="DI45" s="47" t="str">
        <f t="shared" si="368"/>
        <v>#REF!</v>
      </c>
      <c r="DJ45" s="47" t="str">
        <f t="shared" ref="DJ45:DN45" si="369">MAX(0,CW45)*$DB45</f>
        <v>#REF!</v>
      </c>
      <c r="DK45" s="47" t="str">
        <f t="shared" si="369"/>
        <v>#REF!</v>
      </c>
      <c r="DL45" s="47" t="str">
        <f t="shared" si="369"/>
        <v>#REF!</v>
      </c>
      <c r="DM45" s="47" t="str">
        <f t="shared" si="369"/>
        <v>#REF!</v>
      </c>
      <c r="DN45" s="47" t="str">
        <f t="shared" si="369"/>
        <v>#REF!</v>
      </c>
      <c r="DO45" s="45"/>
      <c r="DP45" s="45"/>
      <c r="DQ45" s="45"/>
      <c r="DR45" s="45"/>
      <c r="DS45" s="45"/>
      <c r="DT45" s="45"/>
      <c r="DU45" s="45"/>
      <c r="DV45" s="55">
        <f t="shared" si="66"/>
        <v>0</v>
      </c>
      <c r="DW45" s="56"/>
      <c r="DX45" s="67"/>
    </row>
    <row r="46" ht="14.25" customHeight="1">
      <c r="A46" s="34" t="s">
        <v>33</v>
      </c>
      <c r="B46" s="68"/>
      <c r="C46" s="59" t="str">
        <f t="shared" si="211"/>
        <v/>
      </c>
      <c r="D46" s="59" t="str">
        <f t="shared" si="212"/>
        <v/>
      </c>
      <c r="E46" s="60" t="str">
        <f t="shared" si="213"/>
        <v/>
      </c>
      <c r="F46" s="72">
        <f t="shared" si="279"/>
        <v>0</v>
      </c>
      <c r="G46" s="59" t="str">
        <f t="shared" si="214"/>
        <v/>
      </c>
      <c r="H46" s="59" t="str">
        <f t="shared" si="215"/>
        <v/>
      </c>
      <c r="I46" s="62"/>
      <c r="J46" s="43"/>
      <c r="K46" s="43"/>
      <c r="L46" s="43"/>
      <c r="M46" s="43"/>
      <c r="N46" s="43"/>
      <c r="O46" s="43"/>
      <c r="P46" s="63"/>
      <c r="Q46" s="63"/>
      <c r="R46" s="43"/>
      <c r="S46" s="43"/>
      <c r="T46" s="43"/>
      <c r="U46" s="43"/>
      <c r="V46" s="43">
        <f t="shared" si="10"/>
        <v>0</v>
      </c>
      <c r="W46" s="45" t="str">
        <f t="shared" si="11"/>
        <v>#DIV/0!</v>
      </c>
      <c r="X46" s="45" t="str">
        <f t="shared" si="12"/>
        <v>#DIV/0!</v>
      </c>
      <c r="Y46" s="43">
        <f t="shared" si="13"/>
        <v>0</v>
      </c>
      <c r="Z46" s="43">
        <f t="shared" si="14"/>
        <v>0</v>
      </c>
      <c r="AA46" s="43">
        <f t="shared" si="15"/>
        <v>0</v>
      </c>
      <c r="AB46" s="43">
        <f t="shared" si="16"/>
        <v>0</v>
      </c>
      <c r="AC46" s="43">
        <f t="shared" si="17"/>
        <v>0</v>
      </c>
      <c r="AD46" s="43">
        <f t="shared" si="18"/>
        <v>0</v>
      </c>
      <c r="AE46" s="44"/>
      <c r="AF46" s="45" t="str">
        <f t="shared" si="19"/>
        <v>#DIV/0!</v>
      </c>
      <c r="AG46" s="45" t="str">
        <f t="shared" si="20"/>
        <v>#DIV/0!</v>
      </c>
      <c r="AH46" s="45" t="str">
        <f t="shared" si="21"/>
        <v>#DIV/0!</v>
      </c>
      <c r="AI46" s="45" t="str">
        <f t="shared" si="22"/>
        <v>#DIV/0!</v>
      </c>
      <c r="AJ46" s="45" t="str">
        <f t="shared" si="23"/>
        <v>#DIV/0!</v>
      </c>
      <c r="AK46" s="44"/>
      <c r="AL46" s="45" t="str">
        <f t="shared" si="24"/>
        <v>#DIV/0!</v>
      </c>
      <c r="AM46" s="70" t="str">
        <f t="shared" si="25"/>
        <v>#DIV/0!</v>
      </c>
      <c r="AN46" s="47" t="str">
        <f t="shared" si="26"/>
        <v>#NUM!</v>
      </c>
      <c r="AO46" s="47" t="str">
        <f t="shared" si="27"/>
        <v>#NUM!</v>
      </c>
      <c r="AP46" s="73">
        <f t="shared" si="28"/>
        <v>0.465</v>
      </c>
      <c r="AQ46" s="47" t="str">
        <f t="shared" si="29"/>
        <v>#DIV/0!</v>
      </c>
      <c r="AR46" s="47" t="str">
        <f t="shared" si="30"/>
        <v>#DIV/0!</v>
      </c>
      <c r="AS46" s="48"/>
      <c r="AT46" s="47" t="str">
        <f t="shared" si="31"/>
        <v>#DIV/0!</v>
      </c>
      <c r="AU46" s="71" t="str">
        <f t="shared" si="32"/>
        <v/>
      </c>
      <c r="AV46" s="47">
        <f t="shared" si="33"/>
        <v>-15</v>
      </c>
      <c r="AW46" s="48" t="str">
        <f t="shared" si="34"/>
        <v/>
      </c>
      <c r="AX46" s="47" t="str">
        <f t="shared" si="35"/>
        <v>#DIV/0!</v>
      </c>
      <c r="AY46" s="47">
        <f t="shared" si="36"/>
        <v>0.4375</v>
      </c>
      <c r="AZ46" s="47">
        <f t="shared" si="37"/>
        <v>0.6956521739</v>
      </c>
      <c r="BA46" s="52"/>
      <c r="BB46" s="48"/>
      <c r="BC46" s="48"/>
      <c r="BD46" s="47" t="str">
        <f t="shared" si="38"/>
        <v>#DIV/0!</v>
      </c>
      <c r="BE46" s="47" t="str">
        <f t="shared" si="39"/>
        <v>#DIV/0!</v>
      </c>
      <c r="BF46" s="48" t="str">
        <f t="shared" ref="BF46:BK46" si="370">L46</f>
        <v/>
      </c>
      <c r="BG46" s="48" t="str">
        <f t="shared" si="370"/>
        <v/>
      </c>
      <c r="BH46" s="48" t="str">
        <f t="shared" si="370"/>
        <v/>
      </c>
      <c r="BI46" s="48" t="str">
        <f t="shared" si="370"/>
        <v/>
      </c>
      <c r="BJ46" s="48" t="str">
        <f t="shared" si="370"/>
        <v/>
      </c>
      <c r="BK46" s="48" t="str">
        <f t="shared" si="370"/>
        <v/>
      </c>
      <c r="BL46" s="48" t="str">
        <f t="shared" si="41"/>
        <v/>
      </c>
      <c r="BM46" s="48">
        <f t="shared" si="42"/>
        <v>0</v>
      </c>
      <c r="BN46" s="48">
        <f t="shared" si="43"/>
        <v>0</v>
      </c>
      <c r="BO46" s="48">
        <f t="shared" si="44"/>
        <v>0</v>
      </c>
      <c r="BP46" s="47" t="str">
        <f t="shared" si="45"/>
        <v>#DIV/0!</v>
      </c>
      <c r="BQ46" s="54"/>
      <c r="BR46" s="54"/>
      <c r="BS46" s="54"/>
      <c r="BT46" s="47" t="str">
        <f t="shared" si="46"/>
        <v>#NUM!</v>
      </c>
      <c r="BU46" s="48"/>
      <c r="BV46" s="48">
        <f t="shared" si="47"/>
        <v>3</v>
      </c>
      <c r="BW46" s="48" t="str">
        <f t="shared" ref="BW46:CA46" si="371">MAX(($BU46*BW$58)+BW$59,2)</f>
        <v>#REF!</v>
      </c>
      <c r="BX46" s="48" t="str">
        <f t="shared" si="371"/>
        <v>#REF!</v>
      </c>
      <c r="BY46" s="48" t="str">
        <f t="shared" si="371"/>
        <v>#REF!</v>
      </c>
      <c r="BZ46" s="48" t="str">
        <f t="shared" si="371"/>
        <v>#REF!</v>
      </c>
      <c r="CA46" s="48" t="str">
        <f t="shared" si="371"/>
        <v>#REF!</v>
      </c>
      <c r="CB46" s="48" t="str">
        <f t="shared" si="49"/>
        <v>#REF!</v>
      </c>
      <c r="CC46" s="48" t="str">
        <f t="shared" ref="CC46:CH46" si="372">MAX(($BU46*CC$58)+CC$59,2)</f>
        <v>#REF!</v>
      </c>
      <c r="CD46" s="48" t="str">
        <f t="shared" si="372"/>
        <v>#REF!</v>
      </c>
      <c r="CE46" s="48" t="str">
        <f t="shared" si="372"/>
        <v>#REF!</v>
      </c>
      <c r="CF46" s="48" t="str">
        <f t="shared" si="372"/>
        <v>#REF!</v>
      </c>
      <c r="CG46" s="48" t="str">
        <f t="shared" si="372"/>
        <v>#REF!</v>
      </c>
      <c r="CH46" s="48" t="str">
        <f t="shared" si="372"/>
        <v>#REF!</v>
      </c>
      <c r="CI46" s="48" t="str">
        <f t="shared" si="51"/>
        <v>#REF!</v>
      </c>
      <c r="CJ46" s="48" t="str">
        <f t="shared" si="52"/>
        <v>#REF!</v>
      </c>
      <c r="CK46" s="48" t="str">
        <f t="shared" si="53"/>
        <v>#REF!</v>
      </c>
      <c r="CL46" s="48" t="str">
        <f t="shared" si="54"/>
        <v>#REF!</v>
      </c>
      <c r="CM46" s="47" t="str">
        <f t="shared" si="55"/>
        <v>#REF!</v>
      </c>
      <c r="CN46" s="47" t="str">
        <f t="shared" si="56"/>
        <v>#REF!</v>
      </c>
      <c r="CO46" s="47" t="str">
        <f t="shared" si="57"/>
        <v>#REF!</v>
      </c>
      <c r="CP46" s="47" t="str">
        <f t="shared" si="58"/>
        <v>#REF!</v>
      </c>
      <c r="CQ46" s="48"/>
      <c r="CR46" s="47" t="str">
        <f t="shared" ref="CR46:CU46" si="373">(M46-BY46)/M46</f>
        <v>#REF!</v>
      </c>
      <c r="CS46" s="47" t="str">
        <f t="shared" si="373"/>
        <v>#REF!</v>
      </c>
      <c r="CT46" s="47" t="str">
        <f t="shared" si="373"/>
        <v>#REF!</v>
      </c>
      <c r="CU46" s="47" t="str">
        <f t="shared" si="373"/>
        <v>#REF!</v>
      </c>
      <c r="CV46" s="48"/>
      <c r="CW46" s="47" t="str">
        <f t="shared" si="60"/>
        <v>#REF!</v>
      </c>
      <c r="CX46" s="47" t="str">
        <f t="shared" ref="CX46:CY46" si="374">(R46-CI46)/R46</f>
        <v>#REF!</v>
      </c>
      <c r="CY46" s="47" t="str">
        <f t="shared" si="374"/>
        <v>#REF!</v>
      </c>
      <c r="CZ46" s="47" t="str">
        <f t="shared" ref="CZ46:DA46" si="375">(T46-CD46)/T46</f>
        <v>#REF!</v>
      </c>
      <c r="DA46" s="47" t="str">
        <f t="shared" si="375"/>
        <v>#REF!</v>
      </c>
      <c r="DB46" s="48"/>
      <c r="DC46" s="47" t="str">
        <f t="shared" ref="DC46:DE46" si="376">MAX(0,CN46)*$DB46</f>
        <v>#REF!</v>
      </c>
      <c r="DD46" s="47" t="str">
        <f t="shared" si="376"/>
        <v>#REF!</v>
      </c>
      <c r="DE46" s="47" t="str">
        <f t="shared" si="376"/>
        <v>#REF!</v>
      </c>
      <c r="DF46" s="47" t="str">
        <f t="shared" ref="DF46:DI46" si="377">MAX(0,CR46)*$DB46</f>
        <v>#REF!</v>
      </c>
      <c r="DG46" s="47" t="str">
        <f t="shared" si="377"/>
        <v>#REF!</v>
      </c>
      <c r="DH46" s="47" t="str">
        <f t="shared" si="377"/>
        <v>#REF!</v>
      </c>
      <c r="DI46" s="47" t="str">
        <f t="shared" si="377"/>
        <v>#REF!</v>
      </c>
      <c r="DJ46" s="47" t="str">
        <f t="shared" ref="DJ46:DN46" si="378">MAX(0,CW46)*$DB46</f>
        <v>#REF!</v>
      </c>
      <c r="DK46" s="47" t="str">
        <f t="shared" si="378"/>
        <v>#REF!</v>
      </c>
      <c r="DL46" s="47" t="str">
        <f t="shared" si="378"/>
        <v>#REF!</v>
      </c>
      <c r="DM46" s="47" t="str">
        <f t="shared" si="378"/>
        <v>#REF!</v>
      </c>
      <c r="DN46" s="47" t="str">
        <f t="shared" si="378"/>
        <v>#REF!</v>
      </c>
      <c r="DO46" s="45"/>
      <c r="DP46" s="45"/>
      <c r="DQ46" s="45"/>
      <c r="DR46" s="45"/>
      <c r="DS46" s="45"/>
      <c r="DT46" s="45"/>
      <c r="DU46" s="45"/>
      <c r="DV46" s="66">
        <f t="shared" si="66"/>
        <v>0</v>
      </c>
      <c r="DW46" s="56"/>
      <c r="DX46" s="67"/>
    </row>
    <row r="47" ht="15.0" customHeight="1">
      <c r="A47" s="34" t="s">
        <v>33</v>
      </c>
      <c r="B47" s="68"/>
      <c r="C47" s="59" t="str">
        <f t="shared" si="211"/>
        <v/>
      </c>
      <c r="D47" s="59" t="str">
        <f t="shared" si="212"/>
        <v/>
      </c>
      <c r="E47" s="60" t="str">
        <f t="shared" si="213"/>
        <v/>
      </c>
      <c r="F47" s="72">
        <f t="shared" si="279"/>
        <v>0</v>
      </c>
      <c r="G47" s="59" t="str">
        <f t="shared" si="214"/>
        <v/>
      </c>
      <c r="H47" s="59" t="str">
        <f t="shared" si="215"/>
        <v/>
      </c>
      <c r="I47" s="62"/>
      <c r="J47" s="43"/>
      <c r="K47" s="43"/>
      <c r="L47" s="43"/>
      <c r="M47" s="43"/>
      <c r="N47" s="43"/>
      <c r="O47" s="43"/>
      <c r="P47" s="63"/>
      <c r="Q47" s="63"/>
      <c r="R47" s="43"/>
      <c r="S47" s="43"/>
      <c r="T47" s="43"/>
      <c r="U47" s="43"/>
      <c r="V47" s="48">
        <f t="shared" si="10"/>
        <v>0</v>
      </c>
      <c r="W47" s="45" t="str">
        <f t="shared" si="11"/>
        <v>#DIV/0!</v>
      </c>
      <c r="X47" s="45" t="str">
        <f t="shared" si="12"/>
        <v>#DIV/0!</v>
      </c>
      <c r="Y47" s="43">
        <f t="shared" si="13"/>
        <v>0</v>
      </c>
      <c r="Z47" s="43">
        <f t="shared" si="14"/>
        <v>0</v>
      </c>
      <c r="AA47" s="43">
        <f t="shared" si="15"/>
        <v>0</v>
      </c>
      <c r="AB47" s="43">
        <f t="shared" si="16"/>
        <v>0</v>
      </c>
      <c r="AC47" s="43">
        <f t="shared" si="17"/>
        <v>0</v>
      </c>
      <c r="AD47" s="43">
        <f t="shared" si="18"/>
        <v>0</v>
      </c>
      <c r="AE47" s="44"/>
      <c r="AF47" s="45" t="str">
        <f t="shared" si="19"/>
        <v>#DIV/0!</v>
      </c>
      <c r="AG47" s="45" t="str">
        <f t="shared" si="20"/>
        <v>#DIV/0!</v>
      </c>
      <c r="AH47" s="45" t="str">
        <f t="shared" si="21"/>
        <v>#DIV/0!</v>
      </c>
      <c r="AI47" s="45" t="str">
        <f t="shared" si="22"/>
        <v>#DIV/0!</v>
      </c>
      <c r="AJ47" s="45" t="str">
        <f t="shared" si="23"/>
        <v>#DIV/0!</v>
      </c>
      <c r="AK47" s="44"/>
      <c r="AL47" s="45" t="str">
        <f t="shared" si="24"/>
        <v>#DIV/0!</v>
      </c>
      <c r="AM47" s="70" t="str">
        <f t="shared" si="25"/>
        <v>#DIV/0!</v>
      </c>
      <c r="AN47" s="47" t="str">
        <f t="shared" si="26"/>
        <v>#NUM!</v>
      </c>
      <c r="AO47" s="47" t="str">
        <f t="shared" si="27"/>
        <v>#NUM!</v>
      </c>
      <c r="AP47" s="73">
        <f t="shared" si="28"/>
        <v>0.465</v>
      </c>
      <c r="AQ47" s="47" t="str">
        <f t="shared" si="29"/>
        <v>#DIV/0!</v>
      </c>
      <c r="AR47" s="47" t="str">
        <f t="shared" si="30"/>
        <v>#DIV/0!</v>
      </c>
      <c r="AS47" s="48"/>
      <c r="AT47" s="47" t="str">
        <f t="shared" si="31"/>
        <v>#DIV/0!</v>
      </c>
      <c r="AU47" s="71" t="str">
        <f t="shared" si="32"/>
        <v/>
      </c>
      <c r="AV47" s="47">
        <f t="shared" si="33"/>
        <v>-15</v>
      </c>
      <c r="AW47" s="48" t="str">
        <f t="shared" si="34"/>
        <v/>
      </c>
      <c r="AX47" s="47" t="str">
        <f t="shared" si="35"/>
        <v>#DIV/0!</v>
      </c>
      <c r="AY47" s="47">
        <f t="shared" si="36"/>
        <v>0.4375</v>
      </c>
      <c r="AZ47" s="47">
        <f t="shared" si="37"/>
        <v>0.6956521739</v>
      </c>
      <c r="BA47" s="52"/>
      <c r="BB47" s="48"/>
      <c r="BC47" s="48"/>
      <c r="BD47" s="47" t="str">
        <f t="shared" si="38"/>
        <v>#DIV/0!</v>
      </c>
      <c r="BE47" s="47" t="str">
        <f t="shared" si="39"/>
        <v>#DIV/0!</v>
      </c>
      <c r="BF47" s="48" t="str">
        <f t="shared" ref="BF47:BK47" si="379">L47</f>
        <v/>
      </c>
      <c r="BG47" s="48" t="str">
        <f t="shared" si="379"/>
        <v/>
      </c>
      <c r="BH47" s="48" t="str">
        <f t="shared" si="379"/>
        <v/>
      </c>
      <c r="BI47" s="48" t="str">
        <f t="shared" si="379"/>
        <v/>
      </c>
      <c r="BJ47" s="48" t="str">
        <f t="shared" si="379"/>
        <v/>
      </c>
      <c r="BK47" s="48" t="str">
        <f t="shared" si="379"/>
        <v/>
      </c>
      <c r="BL47" s="48" t="str">
        <f t="shared" si="41"/>
        <v/>
      </c>
      <c r="BM47" s="48">
        <f t="shared" si="42"/>
        <v>0</v>
      </c>
      <c r="BN47" s="48">
        <f t="shared" si="43"/>
        <v>0</v>
      </c>
      <c r="BO47" s="48">
        <f t="shared" si="44"/>
        <v>0</v>
      </c>
      <c r="BP47" s="47" t="str">
        <f t="shared" si="45"/>
        <v>#DIV/0!</v>
      </c>
      <c r="BQ47" s="54"/>
      <c r="BR47" s="54"/>
      <c r="BS47" s="54"/>
      <c r="BT47" s="47" t="str">
        <f t="shared" si="46"/>
        <v>#NUM!</v>
      </c>
      <c r="BU47" s="48"/>
      <c r="BV47" s="48">
        <f t="shared" si="47"/>
        <v>3</v>
      </c>
      <c r="BW47" s="48" t="str">
        <f t="shared" ref="BW47:CA47" si="380">MAX(($BU47*BW$58)+BW$59,2)</f>
        <v>#REF!</v>
      </c>
      <c r="BX47" s="48" t="str">
        <f t="shared" si="380"/>
        <v>#REF!</v>
      </c>
      <c r="BY47" s="48" t="str">
        <f t="shared" si="380"/>
        <v>#REF!</v>
      </c>
      <c r="BZ47" s="48" t="str">
        <f t="shared" si="380"/>
        <v>#REF!</v>
      </c>
      <c r="CA47" s="48" t="str">
        <f t="shared" si="380"/>
        <v>#REF!</v>
      </c>
      <c r="CB47" s="48" t="str">
        <f t="shared" si="49"/>
        <v>#REF!</v>
      </c>
      <c r="CC47" s="48" t="str">
        <f t="shared" ref="CC47:CH47" si="381">MAX(($BU47*CC$58)+CC$59,2)</f>
        <v>#REF!</v>
      </c>
      <c r="CD47" s="48" t="str">
        <f t="shared" si="381"/>
        <v>#REF!</v>
      </c>
      <c r="CE47" s="48" t="str">
        <f t="shared" si="381"/>
        <v>#REF!</v>
      </c>
      <c r="CF47" s="48" t="str">
        <f t="shared" si="381"/>
        <v>#REF!</v>
      </c>
      <c r="CG47" s="48" t="str">
        <f t="shared" si="381"/>
        <v>#REF!</v>
      </c>
      <c r="CH47" s="48" t="str">
        <f t="shared" si="381"/>
        <v>#REF!</v>
      </c>
      <c r="CI47" s="48" t="str">
        <f t="shared" si="51"/>
        <v>#REF!</v>
      </c>
      <c r="CJ47" s="48" t="str">
        <f t="shared" si="52"/>
        <v>#REF!</v>
      </c>
      <c r="CK47" s="48" t="str">
        <f t="shared" si="53"/>
        <v>#REF!</v>
      </c>
      <c r="CL47" s="48" t="str">
        <f t="shared" si="54"/>
        <v>#REF!</v>
      </c>
      <c r="CM47" s="47" t="str">
        <f t="shared" si="55"/>
        <v>#REF!</v>
      </c>
      <c r="CN47" s="47" t="str">
        <f t="shared" si="56"/>
        <v>#REF!</v>
      </c>
      <c r="CO47" s="47" t="str">
        <f t="shared" si="57"/>
        <v>#REF!</v>
      </c>
      <c r="CP47" s="47" t="str">
        <f t="shared" si="58"/>
        <v>#REF!</v>
      </c>
      <c r="CQ47" s="48"/>
      <c r="CR47" s="47" t="str">
        <f t="shared" ref="CR47:CU47" si="382">(M47-BY47)/M47</f>
        <v>#REF!</v>
      </c>
      <c r="CS47" s="47" t="str">
        <f t="shared" si="382"/>
        <v>#REF!</v>
      </c>
      <c r="CT47" s="47" t="str">
        <f t="shared" si="382"/>
        <v>#REF!</v>
      </c>
      <c r="CU47" s="47" t="str">
        <f t="shared" si="382"/>
        <v>#REF!</v>
      </c>
      <c r="CV47" s="48"/>
      <c r="CW47" s="47" t="str">
        <f t="shared" si="60"/>
        <v>#REF!</v>
      </c>
      <c r="CX47" s="47" t="str">
        <f t="shared" ref="CX47:CY47" si="383">(R47-CI47)/R47</f>
        <v>#REF!</v>
      </c>
      <c r="CY47" s="47" t="str">
        <f t="shared" si="383"/>
        <v>#REF!</v>
      </c>
      <c r="CZ47" s="47" t="str">
        <f t="shared" ref="CZ47:DA47" si="384">(T47-CD47)/T47</f>
        <v>#REF!</v>
      </c>
      <c r="DA47" s="47" t="str">
        <f t="shared" si="384"/>
        <v>#REF!</v>
      </c>
      <c r="DB47" s="48"/>
      <c r="DC47" s="47" t="str">
        <f t="shared" ref="DC47:DE47" si="385">MAX(0,CN47)*$DB47</f>
        <v>#REF!</v>
      </c>
      <c r="DD47" s="47" t="str">
        <f t="shared" si="385"/>
        <v>#REF!</v>
      </c>
      <c r="DE47" s="47" t="str">
        <f t="shared" si="385"/>
        <v>#REF!</v>
      </c>
      <c r="DF47" s="47" t="str">
        <f t="shared" ref="DF47:DI47" si="386">MAX(0,CR47)*$DB47</f>
        <v>#REF!</v>
      </c>
      <c r="DG47" s="47" t="str">
        <f t="shared" si="386"/>
        <v>#REF!</v>
      </c>
      <c r="DH47" s="47" t="str">
        <f t="shared" si="386"/>
        <v>#REF!</v>
      </c>
      <c r="DI47" s="47" t="str">
        <f t="shared" si="386"/>
        <v>#REF!</v>
      </c>
      <c r="DJ47" s="47" t="str">
        <f t="shared" ref="DJ47:DN47" si="387">MAX(0,CW47)*$DB47</f>
        <v>#REF!</v>
      </c>
      <c r="DK47" s="47" t="str">
        <f t="shared" si="387"/>
        <v>#REF!</v>
      </c>
      <c r="DL47" s="47" t="str">
        <f t="shared" si="387"/>
        <v>#REF!</v>
      </c>
      <c r="DM47" s="47" t="str">
        <f t="shared" si="387"/>
        <v>#REF!</v>
      </c>
      <c r="DN47" s="47" t="str">
        <f t="shared" si="387"/>
        <v>#REF!</v>
      </c>
      <c r="DO47" s="45"/>
      <c r="DP47" s="45"/>
      <c r="DQ47" s="45"/>
      <c r="DR47" s="45"/>
      <c r="DS47" s="45"/>
      <c r="DT47" s="45"/>
      <c r="DU47" s="45"/>
      <c r="DV47" s="55">
        <f t="shared" si="66"/>
        <v>0</v>
      </c>
      <c r="DW47" s="56"/>
      <c r="DX47" s="67"/>
    </row>
    <row r="48" ht="14.25" customHeight="1">
      <c r="A48" s="34" t="s">
        <v>33</v>
      </c>
      <c r="B48" s="68"/>
      <c r="C48" s="59" t="str">
        <f t="shared" si="211"/>
        <v/>
      </c>
      <c r="D48" s="59" t="str">
        <f t="shared" si="212"/>
        <v/>
      </c>
      <c r="E48" s="60" t="str">
        <f t="shared" si="213"/>
        <v/>
      </c>
      <c r="F48" s="72">
        <f t="shared" si="279"/>
        <v>0</v>
      </c>
      <c r="G48" s="59" t="str">
        <f t="shared" si="214"/>
        <v/>
      </c>
      <c r="H48" s="59" t="str">
        <f t="shared" si="215"/>
        <v/>
      </c>
      <c r="I48" s="62"/>
      <c r="J48" s="43"/>
      <c r="K48" s="43"/>
      <c r="L48" s="43"/>
      <c r="M48" s="43"/>
      <c r="N48" s="43"/>
      <c r="O48" s="43"/>
      <c r="P48" s="63"/>
      <c r="Q48" s="63"/>
      <c r="R48" s="43"/>
      <c r="S48" s="43"/>
      <c r="T48" s="43"/>
      <c r="U48" s="43"/>
      <c r="V48" s="43">
        <f t="shared" si="10"/>
        <v>0</v>
      </c>
      <c r="W48" s="45" t="str">
        <f t="shared" si="11"/>
        <v>#DIV/0!</v>
      </c>
      <c r="X48" s="45" t="str">
        <f t="shared" si="12"/>
        <v>#DIV/0!</v>
      </c>
      <c r="Y48" s="43">
        <f t="shared" si="13"/>
        <v>0</v>
      </c>
      <c r="Z48" s="43">
        <f t="shared" si="14"/>
        <v>0</v>
      </c>
      <c r="AA48" s="43">
        <f t="shared" si="15"/>
        <v>0</v>
      </c>
      <c r="AB48" s="43">
        <f t="shared" si="16"/>
        <v>0</v>
      </c>
      <c r="AC48" s="43">
        <f t="shared" si="17"/>
        <v>0</v>
      </c>
      <c r="AD48" s="43">
        <f t="shared" si="18"/>
        <v>0</v>
      </c>
      <c r="AE48" s="44"/>
      <c r="AF48" s="45" t="str">
        <f t="shared" si="19"/>
        <v>#DIV/0!</v>
      </c>
      <c r="AG48" s="45" t="str">
        <f t="shared" si="20"/>
        <v>#DIV/0!</v>
      </c>
      <c r="AH48" s="45" t="str">
        <f t="shared" si="21"/>
        <v>#DIV/0!</v>
      </c>
      <c r="AI48" s="45" t="str">
        <f t="shared" si="22"/>
        <v>#DIV/0!</v>
      </c>
      <c r="AJ48" s="45" t="str">
        <f t="shared" si="23"/>
        <v>#DIV/0!</v>
      </c>
      <c r="AK48" s="44"/>
      <c r="AL48" s="45" t="str">
        <f t="shared" si="24"/>
        <v>#DIV/0!</v>
      </c>
      <c r="AM48" s="70" t="str">
        <f t="shared" si="25"/>
        <v>#DIV/0!</v>
      </c>
      <c r="AN48" s="47" t="str">
        <f t="shared" si="26"/>
        <v>#NUM!</v>
      </c>
      <c r="AO48" s="47" t="str">
        <f t="shared" si="27"/>
        <v>#NUM!</v>
      </c>
      <c r="AP48" s="73">
        <f t="shared" si="28"/>
        <v>0.465</v>
      </c>
      <c r="AQ48" s="47" t="str">
        <f t="shared" si="29"/>
        <v>#DIV/0!</v>
      </c>
      <c r="AR48" s="47" t="str">
        <f t="shared" si="30"/>
        <v>#DIV/0!</v>
      </c>
      <c r="AS48" s="48"/>
      <c r="AT48" s="47" t="str">
        <f t="shared" si="31"/>
        <v>#DIV/0!</v>
      </c>
      <c r="AU48" s="71" t="str">
        <f t="shared" si="32"/>
        <v/>
      </c>
      <c r="AV48" s="47">
        <f t="shared" si="33"/>
        <v>-15</v>
      </c>
      <c r="AW48" s="48" t="str">
        <f t="shared" si="34"/>
        <v/>
      </c>
      <c r="AX48" s="47" t="str">
        <f t="shared" si="35"/>
        <v>#DIV/0!</v>
      </c>
      <c r="AY48" s="47">
        <f t="shared" si="36"/>
        <v>0.4375</v>
      </c>
      <c r="AZ48" s="47">
        <f t="shared" si="37"/>
        <v>0.6956521739</v>
      </c>
      <c r="BA48" s="52"/>
      <c r="BB48" s="48"/>
      <c r="BC48" s="48"/>
      <c r="BD48" s="47" t="str">
        <f t="shared" si="38"/>
        <v>#DIV/0!</v>
      </c>
      <c r="BE48" s="47" t="str">
        <f t="shared" si="39"/>
        <v>#DIV/0!</v>
      </c>
      <c r="BF48" s="48" t="str">
        <f t="shared" ref="BF48:BK48" si="388">L48</f>
        <v/>
      </c>
      <c r="BG48" s="48" t="str">
        <f t="shared" si="388"/>
        <v/>
      </c>
      <c r="BH48" s="48" t="str">
        <f t="shared" si="388"/>
        <v/>
      </c>
      <c r="BI48" s="48" t="str">
        <f t="shared" si="388"/>
        <v/>
      </c>
      <c r="BJ48" s="48" t="str">
        <f t="shared" si="388"/>
        <v/>
      </c>
      <c r="BK48" s="48" t="str">
        <f t="shared" si="388"/>
        <v/>
      </c>
      <c r="BL48" s="48" t="str">
        <f t="shared" si="41"/>
        <v/>
      </c>
      <c r="BM48" s="48">
        <f t="shared" si="42"/>
        <v>0</v>
      </c>
      <c r="BN48" s="48">
        <f t="shared" si="43"/>
        <v>0</v>
      </c>
      <c r="BO48" s="48">
        <f t="shared" si="44"/>
        <v>0</v>
      </c>
      <c r="BP48" s="47" t="str">
        <f t="shared" si="45"/>
        <v>#DIV/0!</v>
      </c>
      <c r="BQ48" s="54"/>
      <c r="BR48" s="54"/>
      <c r="BS48" s="54"/>
      <c r="BT48" s="47" t="str">
        <f t="shared" si="46"/>
        <v>#NUM!</v>
      </c>
      <c r="BU48" s="48"/>
      <c r="BV48" s="48">
        <f t="shared" si="47"/>
        <v>3</v>
      </c>
      <c r="BW48" s="48" t="str">
        <f t="shared" ref="BW48:CA48" si="389">MAX(($BU48*BW$58)+BW$59,2)</f>
        <v>#REF!</v>
      </c>
      <c r="BX48" s="48" t="str">
        <f t="shared" si="389"/>
        <v>#REF!</v>
      </c>
      <c r="BY48" s="48" t="str">
        <f t="shared" si="389"/>
        <v>#REF!</v>
      </c>
      <c r="BZ48" s="48" t="str">
        <f t="shared" si="389"/>
        <v>#REF!</v>
      </c>
      <c r="CA48" s="48" t="str">
        <f t="shared" si="389"/>
        <v>#REF!</v>
      </c>
      <c r="CB48" s="48" t="str">
        <f t="shared" si="49"/>
        <v>#REF!</v>
      </c>
      <c r="CC48" s="48" t="str">
        <f t="shared" ref="CC48:CH48" si="390">MAX(($BU48*CC$58)+CC$59,2)</f>
        <v>#REF!</v>
      </c>
      <c r="CD48" s="48" t="str">
        <f t="shared" si="390"/>
        <v>#REF!</v>
      </c>
      <c r="CE48" s="48" t="str">
        <f t="shared" si="390"/>
        <v>#REF!</v>
      </c>
      <c r="CF48" s="48" t="str">
        <f t="shared" si="390"/>
        <v>#REF!</v>
      </c>
      <c r="CG48" s="48" t="str">
        <f t="shared" si="390"/>
        <v>#REF!</v>
      </c>
      <c r="CH48" s="48" t="str">
        <f t="shared" si="390"/>
        <v>#REF!</v>
      </c>
      <c r="CI48" s="48" t="str">
        <f t="shared" si="51"/>
        <v>#REF!</v>
      </c>
      <c r="CJ48" s="48" t="str">
        <f t="shared" si="52"/>
        <v>#REF!</v>
      </c>
      <c r="CK48" s="48" t="str">
        <f t="shared" si="53"/>
        <v>#REF!</v>
      </c>
      <c r="CL48" s="48" t="str">
        <f t="shared" si="54"/>
        <v>#REF!</v>
      </c>
      <c r="CM48" s="47" t="str">
        <f t="shared" si="55"/>
        <v>#REF!</v>
      </c>
      <c r="CN48" s="47" t="str">
        <f t="shared" si="56"/>
        <v>#REF!</v>
      </c>
      <c r="CO48" s="47" t="str">
        <f t="shared" si="57"/>
        <v>#REF!</v>
      </c>
      <c r="CP48" s="47" t="str">
        <f t="shared" si="58"/>
        <v>#REF!</v>
      </c>
      <c r="CQ48" s="48"/>
      <c r="CR48" s="47" t="str">
        <f t="shared" ref="CR48:CU48" si="391">(M48-BY48)/M48</f>
        <v>#REF!</v>
      </c>
      <c r="CS48" s="47" t="str">
        <f t="shared" si="391"/>
        <v>#REF!</v>
      </c>
      <c r="CT48" s="47" t="str">
        <f t="shared" si="391"/>
        <v>#REF!</v>
      </c>
      <c r="CU48" s="47" t="str">
        <f t="shared" si="391"/>
        <v>#REF!</v>
      </c>
      <c r="CV48" s="48"/>
      <c r="CW48" s="47" t="str">
        <f t="shared" si="60"/>
        <v>#REF!</v>
      </c>
      <c r="CX48" s="47" t="str">
        <f t="shared" ref="CX48:CY48" si="392">(R48-CI48)/R48</f>
        <v>#REF!</v>
      </c>
      <c r="CY48" s="47" t="str">
        <f t="shared" si="392"/>
        <v>#REF!</v>
      </c>
      <c r="CZ48" s="47" t="str">
        <f t="shared" ref="CZ48:DA48" si="393">(T48-CD48)/T48</f>
        <v>#REF!</v>
      </c>
      <c r="DA48" s="47" t="str">
        <f t="shared" si="393"/>
        <v>#REF!</v>
      </c>
      <c r="DB48" s="48"/>
      <c r="DC48" s="47" t="str">
        <f t="shared" ref="DC48:DE48" si="394">MAX(0,CN48)*$DB48</f>
        <v>#REF!</v>
      </c>
      <c r="DD48" s="47" t="str">
        <f t="shared" si="394"/>
        <v>#REF!</v>
      </c>
      <c r="DE48" s="47" t="str">
        <f t="shared" si="394"/>
        <v>#REF!</v>
      </c>
      <c r="DF48" s="47" t="str">
        <f t="shared" ref="DF48:DI48" si="395">MAX(0,CR48)*$DB48</f>
        <v>#REF!</v>
      </c>
      <c r="DG48" s="47" t="str">
        <f t="shared" si="395"/>
        <v>#REF!</v>
      </c>
      <c r="DH48" s="47" t="str">
        <f t="shared" si="395"/>
        <v>#REF!</v>
      </c>
      <c r="DI48" s="47" t="str">
        <f t="shared" si="395"/>
        <v>#REF!</v>
      </c>
      <c r="DJ48" s="47" t="str">
        <f t="shared" ref="DJ48:DN48" si="396">MAX(0,CW48)*$DB48</f>
        <v>#REF!</v>
      </c>
      <c r="DK48" s="47" t="str">
        <f t="shared" si="396"/>
        <v>#REF!</v>
      </c>
      <c r="DL48" s="47" t="str">
        <f t="shared" si="396"/>
        <v>#REF!</v>
      </c>
      <c r="DM48" s="47" t="str">
        <f t="shared" si="396"/>
        <v>#REF!</v>
      </c>
      <c r="DN48" s="47" t="str">
        <f t="shared" si="396"/>
        <v>#REF!</v>
      </c>
      <c r="DO48" s="45"/>
      <c r="DP48" s="45"/>
      <c r="DQ48" s="45"/>
      <c r="DR48" s="45"/>
      <c r="DS48" s="45"/>
      <c r="DT48" s="45"/>
      <c r="DU48" s="45"/>
      <c r="DV48" s="66">
        <f t="shared" si="66"/>
        <v>0</v>
      </c>
      <c r="DW48" s="56"/>
      <c r="DX48" s="67"/>
    </row>
    <row r="49" ht="14.25" customHeight="1">
      <c r="A49" s="34" t="s">
        <v>33</v>
      </c>
      <c r="B49" s="68"/>
      <c r="C49" s="59" t="str">
        <f t="shared" si="211"/>
        <v/>
      </c>
      <c r="D49" s="59" t="str">
        <f t="shared" si="212"/>
        <v/>
      </c>
      <c r="E49" s="60" t="str">
        <f t="shared" si="213"/>
        <v/>
      </c>
      <c r="F49" s="72">
        <f t="shared" si="279"/>
        <v>0</v>
      </c>
      <c r="G49" s="59" t="str">
        <f t="shared" si="214"/>
        <v/>
      </c>
      <c r="H49" s="59" t="str">
        <f t="shared" si="215"/>
        <v/>
      </c>
      <c r="I49" s="62"/>
      <c r="J49" s="43"/>
      <c r="K49" s="43"/>
      <c r="L49" s="43"/>
      <c r="M49" s="43"/>
      <c r="N49" s="43"/>
      <c r="O49" s="43"/>
      <c r="P49" s="63"/>
      <c r="Q49" s="63"/>
      <c r="R49" s="43"/>
      <c r="S49" s="43"/>
      <c r="T49" s="43"/>
      <c r="U49" s="43"/>
      <c r="V49" s="43">
        <f t="shared" si="10"/>
        <v>0</v>
      </c>
      <c r="W49" s="45" t="str">
        <f t="shared" si="11"/>
        <v>#DIV/0!</v>
      </c>
      <c r="X49" s="45" t="str">
        <f t="shared" si="12"/>
        <v>#DIV/0!</v>
      </c>
      <c r="Y49" s="43">
        <f t="shared" si="13"/>
        <v>0</v>
      </c>
      <c r="Z49" s="43">
        <f t="shared" si="14"/>
        <v>0</v>
      </c>
      <c r="AA49" s="43">
        <f t="shared" si="15"/>
        <v>0</v>
      </c>
      <c r="AB49" s="43">
        <f t="shared" si="16"/>
        <v>0</v>
      </c>
      <c r="AC49" s="43">
        <f t="shared" si="17"/>
        <v>0</v>
      </c>
      <c r="AD49" s="43">
        <f t="shared" si="18"/>
        <v>0</v>
      </c>
      <c r="AE49" s="44"/>
      <c r="AF49" s="45" t="str">
        <f t="shared" si="19"/>
        <v>#DIV/0!</v>
      </c>
      <c r="AG49" s="45" t="str">
        <f t="shared" si="20"/>
        <v>#DIV/0!</v>
      </c>
      <c r="AH49" s="45" t="str">
        <f t="shared" si="21"/>
        <v>#DIV/0!</v>
      </c>
      <c r="AI49" s="45" t="str">
        <f t="shared" si="22"/>
        <v>#DIV/0!</v>
      </c>
      <c r="AJ49" s="45" t="str">
        <f t="shared" si="23"/>
        <v>#DIV/0!</v>
      </c>
      <c r="AK49" s="44"/>
      <c r="AL49" s="45" t="str">
        <f t="shared" si="24"/>
        <v>#DIV/0!</v>
      </c>
      <c r="AM49" s="70" t="str">
        <f t="shared" si="25"/>
        <v>#DIV/0!</v>
      </c>
      <c r="AN49" s="47" t="str">
        <f t="shared" si="26"/>
        <v>#NUM!</v>
      </c>
      <c r="AO49" s="47" t="str">
        <f t="shared" si="27"/>
        <v>#NUM!</v>
      </c>
      <c r="AP49" s="73">
        <f t="shared" si="28"/>
        <v>0.465</v>
      </c>
      <c r="AQ49" s="47" t="str">
        <f t="shared" si="29"/>
        <v>#DIV/0!</v>
      </c>
      <c r="AR49" s="47" t="str">
        <f t="shared" si="30"/>
        <v>#DIV/0!</v>
      </c>
      <c r="AS49" s="48"/>
      <c r="AT49" s="47" t="str">
        <f t="shared" si="31"/>
        <v>#DIV/0!</v>
      </c>
      <c r="AU49" s="71" t="str">
        <f t="shared" si="32"/>
        <v/>
      </c>
      <c r="AV49" s="47">
        <f t="shared" si="33"/>
        <v>-15</v>
      </c>
      <c r="AW49" s="48" t="str">
        <f t="shared" si="34"/>
        <v/>
      </c>
      <c r="AX49" s="47" t="str">
        <f t="shared" si="35"/>
        <v>#DIV/0!</v>
      </c>
      <c r="AY49" s="47">
        <f t="shared" si="36"/>
        <v>0.4375</v>
      </c>
      <c r="AZ49" s="47">
        <f t="shared" si="37"/>
        <v>0.6956521739</v>
      </c>
      <c r="BA49" s="52"/>
      <c r="BB49" s="48"/>
      <c r="BC49" s="48"/>
      <c r="BD49" s="47" t="str">
        <f t="shared" si="38"/>
        <v>#DIV/0!</v>
      </c>
      <c r="BE49" s="47" t="str">
        <f t="shared" si="39"/>
        <v>#DIV/0!</v>
      </c>
      <c r="BF49" s="48" t="str">
        <f t="shared" ref="BF49:BK49" si="397">L49</f>
        <v/>
      </c>
      <c r="BG49" s="48" t="str">
        <f t="shared" si="397"/>
        <v/>
      </c>
      <c r="BH49" s="48" t="str">
        <f t="shared" si="397"/>
        <v/>
      </c>
      <c r="BI49" s="48" t="str">
        <f t="shared" si="397"/>
        <v/>
      </c>
      <c r="BJ49" s="48" t="str">
        <f t="shared" si="397"/>
        <v/>
      </c>
      <c r="BK49" s="48" t="str">
        <f t="shared" si="397"/>
        <v/>
      </c>
      <c r="BL49" s="48" t="str">
        <f t="shared" si="41"/>
        <v/>
      </c>
      <c r="BM49" s="48">
        <f t="shared" si="42"/>
        <v>0</v>
      </c>
      <c r="BN49" s="48">
        <f t="shared" si="43"/>
        <v>0</v>
      </c>
      <c r="BO49" s="48">
        <f t="shared" si="44"/>
        <v>0</v>
      </c>
      <c r="BP49" s="47" t="str">
        <f t="shared" si="45"/>
        <v>#DIV/0!</v>
      </c>
      <c r="BQ49" s="54"/>
      <c r="BR49" s="54"/>
      <c r="BS49" s="54"/>
      <c r="BT49" s="47" t="str">
        <f t="shared" si="46"/>
        <v>#NUM!</v>
      </c>
      <c r="BU49" s="48"/>
      <c r="BV49" s="48">
        <f t="shared" si="47"/>
        <v>3</v>
      </c>
      <c r="BW49" s="48" t="str">
        <f t="shared" ref="BW49:CA49" si="398">MAX(($BU49*BW$58)+BW$59,2)</f>
        <v>#REF!</v>
      </c>
      <c r="BX49" s="48" t="str">
        <f t="shared" si="398"/>
        <v>#REF!</v>
      </c>
      <c r="BY49" s="48" t="str">
        <f t="shared" si="398"/>
        <v>#REF!</v>
      </c>
      <c r="BZ49" s="48" t="str">
        <f t="shared" si="398"/>
        <v>#REF!</v>
      </c>
      <c r="CA49" s="48" t="str">
        <f t="shared" si="398"/>
        <v>#REF!</v>
      </c>
      <c r="CB49" s="48" t="str">
        <f t="shared" si="49"/>
        <v>#REF!</v>
      </c>
      <c r="CC49" s="48" t="str">
        <f t="shared" ref="CC49:CH49" si="399">MAX(($BU49*CC$58)+CC$59,2)</f>
        <v>#REF!</v>
      </c>
      <c r="CD49" s="48" t="str">
        <f t="shared" si="399"/>
        <v>#REF!</v>
      </c>
      <c r="CE49" s="48" t="str">
        <f t="shared" si="399"/>
        <v>#REF!</v>
      </c>
      <c r="CF49" s="48" t="str">
        <f t="shared" si="399"/>
        <v>#REF!</v>
      </c>
      <c r="CG49" s="48" t="str">
        <f t="shared" si="399"/>
        <v>#REF!</v>
      </c>
      <c r="CH49" s="48" t="str">
        <f t="shared" si="399"/>
        <v>#REF!</v>
      </c>
      <c r="CI49" s="48" t="str">
        <f t="shared" si="51"/>
        <v>#REF!</v>
      </c>
      <c r="CJ49" s="48" t="str">
        <f t="shared" si="52"/>
        <v>#REF!</v>
      </c>
      <c r="CK49" s="48" t="str">
        <f t="shared" si="53"/>
        <v>#REF!</v>
      </c>
      <c r="CL49" s="48" t="str">
        <f t="shared" si="54"/>
        <v>#REF!</v>
      </c>
      <c r="CM49" s="47" t="str">
        <f t="shared" si="55"/>
        <v>#REF!</v>
      </c>
      <c r="CN49" s="47" t="str">
        <f t="shared" si="56"/>
        <v>#REF!</v>
      </c>
      <c r="CO49" s="47" t="str">
        <f t="shared" si="57"/>
        <v>#REF!</v>
      </c>
      <c r="CP49" s="47" t="str">
        <f t="shared" si="58"/>
        <v>#REF!</v>
      </c>
      <c r="CQ49" s="48"/>
      <c r="CR49" s="47" t="str">
        <f t="shared" ref="CR49:CU49" si="400">(M49-BY49)/M49</f>
        <v>#REF!</v>
      </c>
      <c r="CS49" s="47" t="str">
        <f t="shared" si="400"/>
        <v>#REF!</v>
      </c>
      <c r="CT49" s="47" t="str">
        <f t="shared" si="400"/>
        <v>#REF!</v>
      </c>
      <c r="CU49" s="47" t="str">
        <f t="shared" si="400"/>
        <v>#REF!</v>
      </c>
      <c r="CV49" s="48"/>
      <c r="CW49" s="47" t="str">
        <f t="shared" si="60"/>
        <v>#REF!</v>
      </c>
      <c r="CX49" s="47" t="str">
        <f t="shared" ref="CX49:CY49" si="401">(R49-CI49)/R49</f>
        <v>#REF!</v>
      </c>
      <c r="CY49" s="47" t="str">
        <f t="shared" si="401"/>
        <v>#REF!</v>
      </c>
      <c r="CZ49" s="47" t="str">
        <f t="shared" ref="CZ49:DA49" si="402">(T49-CD49)/T49</f>
        <v>#REF!</v>
      </c>
      <c r="DA49" s="47" t="str">
        <f t="shared" si="402"/>
        <v>#REF!</v>
      </c>
      <c r="DB49" s="48"/>
      <c r="DC49" s="47" t="str">
        <f t="shared" ref="DC49:DE49" si="403">MAX(0,CN49)*$DB49</f>
        <v>#REF!</v>
      </c>
      <c r="DD49" s="47" t="str">
        <f t="shared" si="403"/>
        <v>#REF!</v>
      </c>
      <c r="DE49" s="47" t="str">
        <f t="shared" si="403"/>
        <v>#REF!</v>
      </c>
      <c r="DF49" s="47" t="str">
        <f t="shared" ref="DF49:DI49" si="404">MAX(0,CR49)*$DB49</f>
        <v>#REF!</v>
      </c>
      <c r="DG49" s="47" t="str">
        <f t="shared" si="404"/>
        <v>#REF!</v>
      </c>
      <c r="DH49" s="47" t="str">
        <f t="shared" si="404"/>
        <v>#REF!</v>
      </c>
      <c r="DI49" s="47" t="str">
        <f t="shared" si="404"/>
        <v>#REF!</v>
      </c>
      <c r="DJ49" s="47" t="str">
        <f t="shared" ref="DJ49:DN49" si="405">MAX(0,CW49)*$DB49</f>
        <v>#REF!</v>
      </c>
      <c r="DK49" s="47" t="str">
        <f t="shared" si="405"/>
        <v>#REF!</v>
      </c>
      <c r="DL49" s="47" t="str">
        <f t="shared" si="405"/>
        <v>#REF!</v>
      </c>
      <c r="DM49" s="47" t="str">
        <f t="shared" si="405"/>
        <v>#REF!</v>
      </c>
      <c r="DN49" s="47" t="str">
        <f t="shared" si="405"/>
        <v>#REF!</v>
      </c>
      <c r="DO49" s="45"/>
      <c r="DP49" s="45"/>
      <c r="DQ49" s="45"/>
      <c r="DR49" s="45"/>
      <c r="DS49" s="45"/>
      <c r="DT49" s="45"/>
      <c r="DU49" s="45"/>
      <c r="DV49" s="55">
        <f t="shared" si="66"/>
        <v>0</v>
      </c>
      <c r="DW49" s="56"/>
      <c r="DX49" s="67"/>
    </row>
    <row r="50" ht="14.25" customHeight="1">
      <c r="A50" s="34" t="s">
        <v>33</v>
      </c>
      <c r="B50" s="68"/>
      <c r="C50" s="59" t="str">
        <f t="shared" si="211"/>
        <v/>
      </c>
      <c r="D50" s="59" t="str">
        <f t="shared" si="212"/>
        <v/>
      </c>
      <c r="E50" s="60" t="str">
        <f t="shared" si="213"/>
        <v/>
      </c>
      <c r="F50" s="72">
        <f t="shared" si="279"/>
        <v>0</v>
      </c>
      <c r="G50" s="59" t="str">
        <f t="shared" si="214"/>
        <v/>
      </c>
      <c r="H50" s="59" t="str">
        <f t="shared" si="215"/>
        <v/>
      </c>
      <c r="I50" s="62"/>
      <c r="J50" s="43"/>
      <c r="K50" s="43"/>
      <c r="L50" s="43"/>
      <c r="M50" s="43"/>
      <c r="N50" s="43"/>
      <c r="O50" s="43"/>
      <c r="P50" s="63"/>
      <c r="Q50" s="63"/>
      <c r="R50" s="43"/>
      <c r="S50" s="43"/>
      <c r="T50" s="43"/>
      <c r="U50" s="43"/>
      <c r="V50" s="43">
        <f t="shared" si="10"/>
        <v>0</v>
      </c>
      <c r="W50" s="45" t="str">
        <f t="shared" si="11"/>
        <v>#DIV/0!</v>
      </c>
      <c r="X50" s="45" t="str">
        <f t="shared" si="12"/>
        <v>#DIV/0!</v>
      </c>
      <c r="Y50" s="43">
        <f t="shared" si="13"/>
        <v>0</v>
      </c>
      <c r="Z50" s="43">
        <f t="shared" si="14"/>
        <v>0</v>
      </c>
      <c r="AA50" s="43">
        <f t="shared" si="15"/>
        <v>0</v>
      </c>
      <c r="AB50" s="43">
        <f t="shared" si="16"/>
        <v>0</v>
      </c>
      <c r="AC50" s="43">
        <f t="shared" si="17"/>
        <v>0</v>
      </c>
      <c r="AD50" s="43">
        <f t="shared" si="18"/>
        <v>0</v>
      </c>
      <c r="AE50" s="44"/>
      <c r="AF50" s="45" t="str">
        <f t="shared" si="19"/>
        <v>#DIV/0!</v>
      </c>
      <c r="AG50" s="45" t="str">
        <f t="shared" si="20"/>
        <v>#DIV/0!</v>
      </c>
      <c r="AH50" s="45" t="str">
        <f t="shared" si="21"/>
        <v>#DIV/0!</v>
      </c>
      <c r="AI50" s="45" t="str">
        <f t="shared" si="22"/>
        <v>#DIV/0!</v>
      </c>
      <c r="AJ50" s="45" t="str">
        <f t="shared" si="23"/>
        <v>#DIV/0!</v>
      </c>
      <c r="AK50" s="44"/>
      <c r="AL50" s="45" t="str">
        <f t="shared" si="24"/>
        <v>#DIV/0!</v>
      </c>
      <c r="AM50" s="70" t="str">
        <f t="shared" si="25"/>
        <v>#DIV/0!</v>
      </c>
      <c r="AN50" s="47" t="str">
        <f t="shared" si="26"/>
        <v>#NUM!</v>
      </c>
      <c r="AO50" s="47" t="str">
        <f t="shared" si="27"/>
        <v>#NUM!</v>
      </c>
      <c r="AP50" s="73">
        <f t="shared" si="28"/>
        <v>0.465</v>
      </c>
      <c r="AQ50" s="47" t="str">
        <f t="shared" si="29"/>
        <v>#DIV/0!</v>
      </c>
      <c r="AR50" s="47" t="str">
        <f t="shared" si="30"/>
        <v>#DIV/0!</v>
      </c>
      <c r="AS50" s="48"/>
      <c r="AT50" s="47" t="str">
        <f t="shared" si="31"/>
        <v>#DIV/0!</v>
      </c>
      <c r="AU50" s="71" t="str">
        <f t="shared" si="32"/>
        <v/>
      </c>
      <c r="AV50" s="47">
        <f t="shared" si="33"/>
        <v>-15</v>
      </c>
      <c r="AW50" s="48" t="str">
        <f t="shared" si="34"/>
        <v/>
      </c>
      <c r="AX50" s="47" t="str">
        <f t="shared" si="35"/>
        <v>#DIV/0!</v>
      </c>
      <c r="AY50" s="47">
        <f t="shared" si="36"/>
        <v>0.4375</v>
      </c>
      <c r="AZ50" s="47">
        <f t="shared" si="37"/>
        <v>0.6956521739</v>
      </c>
      <c r="BA50" s="52"/>
      <c r="BB50" s="48"/>
      <c r="BC50" s="48"/>
      <c r="BD50" s="47" t="str">
        <f t="shared" si="38"/>
        <v>#DIV/0!</v>
      </c>
      <c r="BE50" s="47" t="str">
        <f t="shared" si="39"/>
        <v>#DIV/0!</v>
      </c>
      <c r="BF50" s="48" t="str">
        <f t="shared" ref="BF50:BK50" si="406">L50</f>
        <v/>
      </c>
      <c r="BG50" s="48" t="str">
        <f t="shared" si="406"/>
        <v/>
      </c>
      <c r="BH50" s="48" t="str">
        <f t="shared" si="406"/>
        <v/>
      </c>
      <c r="BI50" s="48" t="str">
        <f t="shared" si="406"/>
        <v/>
      </c>
      <c r="BJ50" s="48" t="str">
        <f t="shared" si="406"/>
        <v/>
      </c>
      <c r="BK50" s="48" t="str">
        <f t="shared" si="406"/>
        <v/>
      </c>
      <c r="BL50" s="48" t="str">
        <f t="shared" si="41"/>
        <v/>
      </c>
      <c r="BM50" s="48">
        <f t="shared" si="42"/>
        <v>0</v>
      </c>
      <c r="BN50" s="48">
        <f t="shared" si="43"/>
        <v>0</v>
      </c>
      <c r="BO50" s="48">
        <f t="shared" si="44"/>
        <v>0</v>
      </c>
      <c r="BP50" s="47" t="str">
        <f t="shared" si="45"/>
        <v>#DIV/0!</v>
      </c>
      <c r="BQ50" s="54"/>
      <c r="BR50" s="54"/>
      <c r="BS50" s="54"/>
      <c r="BT50" s="47" t="str">
        <f t="shared" si="46"/>
        <v>#NUM!</v>
      </c>
      <c r="BU50" s="48"/>
      <c r="BV50" s="48">
        <f t="shared" si="47"/>
        <v>3</v>
      </c>
      <c r="BW50" s="48" t="str">
        <f t="shared" ref="BW50:CA50" si="407">MAX(($BU50*BW$58)+BW$59,2)</f>
        <v>#REF!</v>
      </c>
      <c r="BX50" s="48" t="str">
        <f t="shared" si="407"/>
        <v>#REF!</v>
      </c>
      <c r="BY50" s="48" t="str">
        <f t="shared" si="407"/>
        <v>#REF!</v>
      </c>
      <c r="BZ50" s="48" t="str">
        <f t="shared" si="407"/>
        <v>#REF!</v>
      </c>
      <c r="CA50" s="48" t="str">
        <f t="shared" si="407"/>
        <v>#REF!</v>
      </c>
      <c r="CB50" s="48" t="str">
        <f t="shared" si="49"/>
        <v>#REF!</v>
      </c>
      <c r="CC50" s="48" t="str">
        <f t="shared" ref="CC50:CH50" si="408">MAX(($BU50*CC$58)+CC$59,2)</f>
        <v>#REF!</v>
      </c>
      <c r="CD50" s="48" t="str">
        <f t="shared" si="408"/>
        <v>#REF!</v>
      </c>
      <c r="CE50" s="48" t="str">
        <f t="shared" si="408"/>
        <v>#REF!</v>
      </c>
      <c r="CF50" s="48" t="str">
        <f t="shared" si="408"/>
        <v>#REF!</v>
      </c>
      <c r="CG50" s="48" t="str">
        <f t="shared" si="408"/>
        <v>#REF!</v>
      </c>
      <c r="CH50" s="48" t="str">
        <f t="shared" si="408"/>
        <v>#REF!</v>
      </c>
      <c r="CI50" s="48" t="str">
        <f t="shared" si="51"/>
        <v>#REF!</v>
      </c>
      <c r="CJ50" s="48" t="str">
        <f t="shared" si="52"/>
        <v>#REF!</v>
      </c>
      <c r="CK50" s="48" t="str">
        <f t="shared" si="53"/>
        <v>#REF!</v>
      </c>
      <c r="CL50" s="48" t="str">
        <f t="shared" si="54"/>
        <v>#REF!</v>
      </c>
      <c r="CM50" s="47" t="str">
        <f t="shared" si="55"/>
        <v>#REF!</v>
      </c>
      <c r="CN50" s="47" t="str">
        <f t="shared" si="56"/>
        <v>#REF!</v>
      </c>
      <c r="CO50" s="47" t="str">
        <f t="shared" si="57"/>
        <v>#REF!</v>
      </c>
      <c r="CP50" s="47" t="str">
        <f t="shared" si="58"/>
        <v>#REF!</v>
      </c>
      <c r="CQ50" s="48"/>
      <c r="CR50" s="47" t="str">
        <f t="shared" ref="CR50:CU50" si="409">(M50-BY50)/M50</f>
        <v>#REF!</v>
      </c>
      <c r="CS50" s="47" t="str">
        <f t="shared" si="409"/>
        <v>#REF!</v>
      </c>
      <c r="CT50" s="47" t="str">
        <f t="shared" si="409"/>
        <v>#REF!</v>
      </c>
      <c r="CU50" s="47" t="str">
        <f t="shared" si="409"/>
        <v>#REF!</v>
      </c>
      <c r="CV50" s="48"/>
      <c r="CW50" s="47" t="str">
        <f t="shared" si="60"/>
        <v>#REF!</v>
      </c>
      <c r="CX50" s="47" t="str">
        <f t="shared" ref="CX50:CY50" si="410">(R50-CI50)/R50</f>
        <v>#REF!</v>
      </c>
      <c r="CY50" s="47" t="str">
        <f t="shared" si="410"/>
        <v>#REF!</v>
      </c>
      <c r="CZ50" s="47" t="str">
        <f t="shared" ref="CZ50:DA50" si="411">(T50-CD50)/T50</f>
        <v>#REF!</v>
      </c>
      <c r="DA50" s="47" t="str">
        <f t="shared" si="411"/>
        <v>#REF!</v>
      </c>
      <c r="DB50" s="48"/>
      <c r="DC50" s="47" t="str">
        <f t="shared" ref="DC50:DE50" si="412">MAX(0,CN50)*$DB50</f>
        <v>#REF!</v>
      </c>
      <c r="DD50" s="47" t="str">
        <f t="shared" si="412"/>
        <v>#REF!</v>
      </c>
      <c r="DE50" s="47" t="str">
        <f t="shared" si="412"/>
        <v>#REF!</v>
      </c>
      <c r="DF50" s="47" t="str">
        <f t="shared" ref="DF50:DI50" si="413">MAX(0,CR50)*$DB50</f>
        <v>#REF!</v>
      </c>
      <c r="DG50" s="47" t="str">
        <f t="shared" si="413"/>
        <v>#REF!</v>
      </c>
      <c r="DH50" s="47" t="str">
        <f t="shared" si="413"/>
        <v>#REF!</v>
      </c>
      <c r="DI50" s="47" t="str">
        <f t="shared" si="413"/>
        <v>#REF!</v>
      </c>
      <c r="DJ50" s="47" t="str">
        <f t="shared" ref="DJ50:DN50" si="414">MAX(0,CW50)*$DB50</f>
        <v>#REF!</v>
      </c>
      <c r="DK50" s="47" t="str">
        <f t="shared" si="414"/>
        <v>#REF!</v>
      </c>
      <c r="DL50" s="47" t="str">
        <f t="shared" si="414"/>
        <v>#REF!</v>
      </c>
      <c r="DM50" s="47" t="str">
        <f t="shared" si="414"/>
        <v>#REF!</v>
      </c>
      <c r="DN50" s="47" t="str">
        <f t="shared" si="414"/>
        <v>#REF!</v>
      </c>
      <c r="DO50" s="45"/>
      <c r="DP50" s="45"/>
      <c r="DQ50" s="45"/>
      <c r="DR50" s="45"/>
      <c r="DS50" s="45"/>
      <c r="DT50" s="45"/>
      <c r="DU50" s="45"/>
      <c r="DV50" s="66">
        <f t="shared" si="66"/>
        <v>0</v>
      </c>
      <c r="DW50" s="56"/>
      <c r="DX50" s="67"/>
    </row>
    <row r="51" ht="14.25" customHeight="1">
      <c r="A51" s="34" t="s">
        <v>33</v>
      </c>
      <c r="B51" s="68"/>
      <c r="C51" s="59" t="str">
        <f t="shared" si="211"/>
        <v/>
      </c>
      <c r="D51" s="59" t="str">
        <f t="shared" si="212"/>
        <v/>
      </c>
      <c r="E51" s="60" t="str">
        <f t="shared" si="213"/>
        <v/>
      </c>
      <c r="F51" s="72">
        <f t="shared" si="279"/>
        <v>0</v>
      </c>
      <c r="G51" s="59" t="str">
        <f t="shared" si="214"/>
        <v/>
      </c>
      <c r="H51" s="59" t="str">
        <f t="shared" si="215"/>
        <v/>
      </c>
      <c r="I51" s="62"/>
      <c r="J51" s="43"/>
      <c r="K51" s="43"/>
      <c r="L51" s="43"/>
      <c r="M51" s="43"/>
      <c r="N51" s="43"/>
      <c r="O51" s="43"/>
      <c r="P51" s="63"/>
      <c r="Q51" s="63"/>
      <c r="R51" s="43"/>
      <c r="S51" s="43"/>
      <c r="T51" s="43"/>
      <c r="U51" s="43"/>
      <c r="V51" s="43">
        <f t="shared" si="10"/>
        <v>0</v>
      </c>
      <c r="W51" s="45" t="str">
        <f t="shared" si="11"/>
        <v>#DIV/0!</v>
      </c>
      <c r="X51" s="45" t="str">
        <f t="shared" si="12"/>
        <v>#DIV/0!</v>
      </c>
      <c r="Y51" s="43">
        <f t="shared" si="13"/>
        <v>0</v>
      </c>
      <c r="Z51" s="43">
        <f t="shared" si="14"/>
        <v>0</v>
      </c>
      <c r="AA51" s="43">
        <f t="shared" si="15"/>
        <v>0</v>
      </c>
      <c r="AB51" s="43">
        <f t="shared" si="16"/>
        <v>0</v>
      </c>
      <c r="AC51" s="43">
        <f t="shared" si="17"/>
        <v>0</v>
      </c>
      <c r="AD51" s="43">
        <f t="shared" si="18"/>
        <v>0</v>
      </c>
      <c r="AE51" s="44"/>
      <c r="AF51" s="45" t="str">
        <f t="shared" si="19"/>
        <v>#DIV/0!</v>
      </c>
      <c r="AG51" s="45" t="str">
        <f t="shared" si="20"/>
        <v>#DIV/0!</v>
      </c>
      <c r="AH51" s="45" t="str">
        <f t="shared" si="21"/>
        <v>#DIV/0!</v>
      </c>
      <c r="AI51" s="45" t="str">
        <f t="shared" si="22"/>
        <v>#DIV/0!</v>
      </c>
      <c r="AJ51" s="45" t="str">
        <f t="shared" si="23"/>
        <v>#DIV/0!</v>
      </c>
      <c r="AK51" s="44"/>
      <c r="AL51" s="45" t="str">
        <f t="shared" si="24"/>
        <v>#DIV/0!</v>
      </c>
      <c r="AM51" s="70" t="str">
        <f t="shared" si="25"/>
        <v>#DIV/0!</v>
      </c>
      <c r="AN51" s="47" t="str">
        <f t="shared" si="26"/>
        <v>#NUM!</v>
      </c>
      <c r="AO51" s="47" t="str">
        <f t="shared" si="27"/>
        <v>#NUM!</v>
      </c>
      <c r="AP51" s="73">
        <f t="shared" si="28"/>
        <v>0.465</v>
      </c>
      <c r="AQ51" s="47" t="str">
        <f t="shared" si="29"/>
        <v>#DIV/0!</v>
      </c>
      <c r="AR51" s="47" t="str">
        <f t="shared" si="30"/>
        <v>#DIV/0!</v>
      </c>
      <c r="AS51" s="48"/>
      <c r="AT51" s="47" t="str">
        <f t="shared" si="31"/>
        <v>#DIV/0!</v>
      </c>
      <c r="AU51" s="71" t="str">
        <f t="shared" si="32"/>
        <v/>
      </c>
      <c r="AV51" s="47">
        <f t="shared" si="33"/>
        <v>-15</v>
      </c>
      <c r="AW51" s="48" t="str">
        <f t="shared" si="34"/>
        <v/>
      </c>
      <c r="AX51" s="47" t="str">
        <f t="shared" si="35"/>
        <v>#DIV/0!</v>
      </c>
      <c r="AY51" s="47">
        <f t="shared" si="36"/>
        <v>0.4375</v>
      </c>
      <c r="AZ51" s="47">
        <f t="shared" si="37"/>
        <v>0.6956521739</v>
      </c>
      <c r="BA51" s="52"/>
      <c r="BB51" s="48"/>
      <c r="BC51" s="48"/>
      <c r="BD51" s="47" t="str">
        <f t="shared" si="38"/>
        <v>#DIV/0!</v>
      </c>
      <c r="BE51" s="47" t="str">
        <f t="shared" si="39"/>
        <v>#DIV/0!</v>
      </c>
      <c r="BF51" s="48" t="str">
        <f t="shared" ref="BF51:BK51" si="415">L51</f>
        <v/>
      </c>
      <c r="BG51" s="48" t="str">
        <f t="shared" si="415"/>
        <v/>
      </c>
      <c r="BH51" s="48" t="str">
        <f t="shared" si="415"/>
        <v/>
      </c>
      <c r="BI51" s="48" t="str">
        <f t="shared" si="415"/>
        <v/>
      </c>
      <c r="BJ51" s="48" t="str">
        <f t="shared" si="415"/>
        <v/>
      </c>
      <c r="BK51" s="48" t="str">
        <f t="shared" si="415"/>
        <v/>
      </c>
      <c r="BL51" s="48" t="str">
        <f t="shared" si="41"/>
        <v/>
      </c>
      <c r="BM51" s="48">
        <f t="shared" si="42"/>
        <v>0</v>
      </c>
      <c r="BN51" s="48">
        <f t="shared" si="43"/>
        <v>0</v>
      </c>
      <c r="BO51" s="48">
        <f t="shared" si="44"/>
        <v>0</v>
      </c>
      <c r="BP51" s="47" t="str">
        <f t="shared" si="45"/>
        <v>#DIV/0!</v>
      </c>
      <c r="BQ51" s="54"/>
      <c r="BR51" s="54"/>
      <c r="BS51" s="54"/>
      <c r="BT51" s="47" t="str">
        <f t="shared" si="46"/>
        <v>#NUM!</v>
      </c>
      <c r="BU51" s="48"/>
      <c r="BV51" s="48">
        <f t="shared" si="47"/>
        <v>3</v>
      </c>
      <c r="BW51" s="48" t="str">
        <f t="shared" ref="BW51:CA51" si="416">MAX(($BU51*BW$58)+BW$59,2)</f>
        <v>#REF!</v>
      </c>
      <c r="BX51" s="48" t="str">
        <f t="shared" si="416"/>
        <v>#REF!</v>
      </c>
      <c r="BY51" s="48" t="str">
        <f t="shared" si="416"/>
        <v>#REF!</v>
      </c>
      <c r="BZ51" s="48" t="str">
        <f t="shared" si="416"/>
        <v>#REF!</v>
      </c>
      <c r="CA51" s="48" t="str">
        <f t="shared" si="416"/>
        <v>#REF!</v>
      </c>
      <c r="CB51" s="48" t="str">
        <f t="shared" si="49"/>
        <v>#REF!</v>
      </c>
      <c r="CC51" s="48" t="str">
        <f t="shared" ref="CC51:CH51" si="417">MAX(($BU51*CC$58)+CC$59,2)</f>
        <v>#REF!</v>
      </c>
      <c r="CD51" s="48" t="str">
        <f t="shared" si="417"/>
        <v>#REF!</v>
      </c>
      <c r="CE51" s="48" t="str">
        <f t="shared" si="417"/>
        <v>#REF!</v>
      </c>
      <c r="CF51" s="48" t="str">
        <f t="shared" si="417"/>
        <v>#REF!</v>
      </c>
      <c r="CG51" s="48" t="str">
        <f t="shared" si="417"/>
        <v>#REF!</v>
      </c>
      <c r="CH51" s="48" t="str">
        <f t="shared" si="417"/>
        <v>#REF!</v>
      </c>
      <c r="CI51" s="48" t="str">
        <f t="shared" si="51"/>
        <v>#REF!</v>
      </c>
      <c r="CJ51" s="48" t="str">
        <f t="shared" si="52"/>
        <v>#REF!</v>
      </c>
      <c r="CK51" s="48" t="str">
        <f t="shared" si="53"/>
        <v>#REF!</v>
      </c>
      <c r="CL51" s="48" t="str">
        <f t="shared" si="54"/>
        <v>#REF!</v>
      </c>
      <c r="CM51" s="47" t="str">
        <f t="shared" si="55"/>
        <v>#REF!</v>
      </c>
      <c r="CN51" s="47" t="str">
        <f t="shared" si="56"/>
        <v>#REF!</v>
      </c>
      <c r="CO51" s="47" t="str">
        <f t="shared" si="57"/>
        <v>#REF!</v>
      </c>
      <c r="CP51" s="47" t="str">
        <f t="shared" si="58"/>
        <v>#REF!</v>
      </c>
      <c r="CQ51" s="48"/>
      <c r="CR51" s="47" t="str">
        <f t="shared" ref="CR51:CU51" si="418">(M51-BY51)/M51</f>
        <v>#REF!</v>
      </c>
      <c r="CS51" s="47" t="str">
        <f t="shared" si="418"/>
        <v>#REF!</v>
      </c>
      <c r="CT51" s="47" t="str">
        <f t="shared" si="418"/>
        <v>#REF!</v>
      </c>
      <c r="CU51" s="47" t="str">
        <f t="shared" si="418"/>
        <v>#REF!</v>
      </c>
      <c r="CV51" s="48"/>
      <c r="CW51" s="47" t="str">
        <f t="shared" si="60"/>
        <v>#REF!</v>
      </c>
      <c r="CX51" s="47" t="str">
        <f t="shared" ref="CX51:CY51" si="419">(R51-CI51)/R51</f>
        <v>#REF!</v>
      </c>
      <c r="CY51" s="47" t="str">
        <f t="shared" si="419"/>
        <v>#REF!</v>
      </c>
      <c r="CZ51" s="47" t="str">
        <f t="shared" ref="CZ51:DA51" si="420">(T51-CD51)/T51</f>
        <v>#REF!</v>
      </c>
      <c r="DA51" s="47" t="str">
        <f t="shared" si="420"/>
        <v>#REF!</v>
      </c>
      <c r="DB51" s="48"/>
      <c r="DC51" s="47" t="str">
        <f t="shared" ref="DC51:DE51" si="421">MAX(0,CN51)*$DB51</f>
        <v>#REF!</v>
      </c>
      <c r="DD51" s="47" t="str">
        <f t="shared" si="421"/>
        <v>#REF!</v>
      </c>
      <c r="DE51" s="47" t="str">
        <f t="shared" si="421"/>
        <v>#REF!</v>
      </c>
      <c r="DF51" s="47" t="str">
        <f t="shared" ref="DF51:DI51" si="422">MAX(0,CR51)*$DB51</f>
        <v>#REF!</v>
      </c>
      <c r="DG51" s="47" t="str">
        <f t="shared" si="422"/>
        <v>#REF!</v>
      </c>
      <c r="DH51" s="47" t="str">
        <f t="shared" si="422"/>
        <v>#REF!</v>
      </c>
      <c r="DI51" s="47" t="str">
        <f t="shared" si="422"/>
        <v>#REF!</v>
      </c>
      <c r="DJ51" s="47" t="str">
        <f t="shared" ref="DJ51:DN51" si="423">MAX(0,CW51)*$DB51</f>
        <v>#REF!</v>
      </c>
      <c r="DK51" s="47" t="str">
        <f t="shared" si="423"/>
        <v>#REF!</v>
      </c>
      <c r="DL51" s="47" t="str">
        <f t="shared" si="423"/>
        <v>#REF!</v>
      </c>
      <c r="DM51" s="47" t="str">
        <f t="shared" si="423"/>
        <v>#REF!</v>
      </c>
      <c r="DN51" s="47" t="str">
        <f t="shared" si="423"/>
        <v>#REF!</v>
      </c>
      <c r="DO51" s="45"/>
      <c r="DP51" s="45"/>
      <c r="DQ51" s="45"/>
      <c r="DR51" s="45"/>
      <c r="DS51" s="45"/>
      <c r="DT51" s="45"/>
      <c r="DU51" s="45"/>
      <c r="DV51" s="55">
        <f t="shared" si="66"/>
        <v>0</v>
      </c>
      <c r="DW51" s="56"/>
      <c r="DX51" s="67"/>
    </row>
    <row r="52" ht="14.25" customHeight="1">
      <c r="A52" s="34" t="s">
        <v>33</v>
      </c>
      <c r="B52" s="68"/>
      <c r="C52" s="59" t="str">
        <f t="shared" si="211"/>
        <v/>
      </c>
      <c r="D52" s="59" t="str">
        <f t="shared" si="212"/>
        <v/>
      </c>
      <c r="E52" s="60" t="str">
        <f t="shared" si="213"/>
        <v/>
      </c>
      <c r="F52" s="72">
        <f t="shared" si="279"/>
        <v>0</v>
      </c>
      <c r="G52" s="59" t="str">
        <f t="shared" si="214"/>
        <v/>
      </c>
      <c r="H52" s="59" t="str">
        <f t="shared" si="215"/>
        <v/>
      </c>
      <c r="I52" s="62"/>
      <c r="J52" s="43"/>
      <c r="K52" s="43"/>
      <c r="L52" s="43"/>
      <c r="M52" s="43"/>
      <c r="N52" s="43"/>
      <c r="O52" s="43"/>
      <c r="P52" s="63"/>
      <c r="Q52" s="63"/>
      <c r="R52" s="43"/>
      <c r="S52" s="43"/>
      <c r="T52" s="43"/>
      <c r="U52" s="43"/>
      <c r="V52" s="43">
        <f t="shared" si="10"/>
        <v>0</v>
      </c>
      <c r="W52" s="45" t="str">
        <f t="shared" si="11"/>
        <v>#DIV/0!</v>
      </c>
      <c r="X52" s="45" t="str">
        <f t="shared" si="12"/>
        <v>#DIV/0!</v>
      </c>
      <c r="Y52" s="43">
        <f t="shared" si="13"/>
        <v>0</v>
      </c>
      <c r="Z52" s="43">
        <f t="shared" si="14"/>
        <v>0</v>
      </c>
      <c r="AA52" s="43">
        <f t="shared" si="15"/>
        <v>0</v>
      </c>
      <c r="AB52" s="43">
        <f t="shared" si="16"/>
        <v>0</v>
      </c>
      <c r="AC52" s="43">
        <f t="shared" si="17"/>
        <v>0</v>
      </c>
      <c r="AD52" s="43">
        <f t="shared" si="18"/>
        <v>0</v>
      </c>
      <c r="AE52" s="44"/>
      <c r="AF52" s="45" t="str">
        <f t="shared" si="19"/>
        <v>#DIV/0!</v>
      </c>
      <c r="AG52" s="45" t="str">
        <f t="shared" si="20"/>
        <v>#DIV/0!</v>
      </c>
      <c r="AH52" s="45" t="str">
        <f t="shared" si="21"/>
        <v>#DIV/0!</v>
      </c>
      <c r="AI52" s="45" t="str">
        <f t="shared" si="22"/>
        <v>#DIV/0!</v>
      </c>
      <c r="AJ52" s="45" t="str">
        <f t="shared" si="23"/>
        <v>#DIV/0!</v>
      </c>
      <c r="AK52" s="44"/>
      <c r="AL52" s="45" t="str">
        <f t="shared" si="24"/>
        <v>#DIV/0!</v>
      </c>
      <c r="AM52" s="70" t="str">
        <f t="shared" si="25"/>
        <v>#DIV/0!</v>
      </c>
      <c r="AN52" s="47" t="str">
        <f t="shared" si="26"/>
        <v>#NUM!</v>
      </c>
      <c r="AO52" s="47" t="str">
        <f t="shared" si="27"/>
        <v>#NUM!</v>
      </c>
      <c r="AP52" s="73">
        <f t="shared" si="28"/>
        <v>0.465</v>
      </c>
      <c r="AQ52" s="47" t="str">
        <f t="shared" si="29"/>
        <v>#DIV/0!</v>
      </c>
      <c r="AR52" s="47" t="str">
        <f t="shared" si="30"/>
        <v>#DIV/0!</v>
      </c>
      <c r="AS52" s="48"/>
      <c r="AT52" s="47" t="str">
        <f t="shared" si="31"/>
        <v>#DIV/0!</v>
      </c>
      <c r="AU52" s="71" t="str">
        <f t="shared" si="32"/>
        <v/>
      </c>
      <c r="AV52" s="47">
        <f t="shared" si="33"/>
        <v>-15</v>
      </c>
      <c r="AW52" s="48" t="str">
        <f t="shared" si="34"/>
        <v/>
      </c>
      <c r="AX52" s="47" t="str">
        <f t="shared" si="35"/>
        <v>#DIV/0!</v>
      </c>
      <c r="AY52" s="47">
        <f t="shared" si="36"/>
        <v>0.4375</v>
      </c>
      <c r="AZ52" s="47">
        <f t="shared" si="37"/>
        <v>0.6956521739</v>
      </c>
      <c r="BA52" s="52"/>
      <c r="BB52" s="48"/>
      <c r="BC52" s="48"/>
      <c r="BD52" s="47" t="str">
        <f t="shared" si="38"/>
        <v>#DIV/0!</v>
      </c>
      <c r="BE52" s="47" t="str">
        <f t="shared" si="39"/>
        <v>#DIV/0!</v>
      </c>
      <c r="BF52" s="48" t="str">
        <f t="shared" ref="BF52:BK52" si="424">L52</f>
        <v/>
      </c>
      <c r="BG52" s="48" t="str">
        <f t="shared" si="424"/>
        <v/>
      </c>
      <c r="BH52" s="48" t="str">
        <f t="shared" si="424"/>
        <v/>
      </c>
      <c r="BI52" s="48" t="str">
        <f t="shared" si="424"/>
        <v/>
      </c>
      <c r="BJ52" s="48" t="str">
        <f t="shared" si="424"/>
        <v/>
      </c>
      <c r="BK52" s="48" t="str">
        <f t="shared" si="424"/>
        <v/>
      </c>
      <c r="BL52" s="48" t="str">
        <f t="shared" si="41"/>
        <v/>
      </c>
      <c r="BM52" s="48">
        <f t="shared" si="42"/>
        <v>0</v>
      </c>
      <c r="BN52" s="48">
        <f t="shared" si="43"/>
        <v>0</v>
      </c>
      <c r="BO52" s="48">
        <f t="shared" si="44"/>
        <v>0</v>
      </c>
      <c r="BP52" s="47" t="str">
        <f t="shared" si="45"/>
        <v>#DIV/0!</v>
      </c>
      <c r="BQ52" s="54"/>
      <c r="BR52" s="54"/>
      <c r="BS52" s="54"/>
      <c r="BT52" s="47" t="str">
        <f t="shared" si="46"/>
        <v>#NUM!</v>
      </c>
      <c r="BU52" s="48"/>
      <c r="BV52" s="48">
        <f t="shared" si="47"/>
        <v>3</v>
      </c>
      <c r="BW52" s="48" t="str">
        <f t="shared" ref="BW52:CA52" si="425">MAX(($BU52*BW$58)+BW$59,2)</f>
        <v>#REF!</v>
      </c>
      <c r="BX52" s="48" t="str">
        <f t="shared" si="425"/>
        <v>#REF!</v>
      </c>
      <c r="BY52" s="48" t="str">
        <f t="shared" si="425"/>
        <v>#REF!</v>
      </c>
      <c r="BZ52" s="48" t="str">
        <f t="shared" si="425"/>
        <v>#REF!</v>
      </c>
      <c r="CA52" s="48" t="str">
        <f t="shared" si="425"/>
        <v>#REF!</v>
      </c>
      <c r="CB52" s="48" t="str">
        <f t="shared" si="49"/>
        <v>#REF!</v>
      </c>
      <c r="CC52" s="48" t="str">
        <f t="shared" ref="CC52:CH52" si="426">MAX(($BU52*CC$58)+CC$59,2)</f>
        <v>#REF!</v>
      </c>
      <c r="CD52" s="48" t="str">
        <f t="shared" si="426"/>
        <v>#REF!</v>
      </c>
      <c r="CE52" s="48" t="str">
        <f t="shared" si="426"/>
        <v>#REF!</v>
      </c>
      <c r="CF52" s="48" t="str">
        <f t="shared" si="426"/>
        <v>#REF!</v>
      </c>
      <c r="CG52" s="48" t="str">
        <f t="shared" si="426"/>
        <v>#REF!</v>
      </c>
      <c r="CH52" s="48" t="str">
        <f t="shared" si="426"/>
        <v>#REF!</v>
      </c>
      <c r="CI52" s="48" t="str">
        <f t="shared" si="51"/>
        <v>#REF!</v>
      </c>
      <c r="CJ52" s="48" t="str">
        <f t="shared" si="52"/>
        <v>#REF!</v>
      </c>
      <c r="CK52" s="48" t="str">
        <f t="shared" si="53"/>
        <v>#REF!</v>
      </c>
      <c r="CL52" s="48" t="str">
        <f t="shared" si="54"/>
        <v>#REF!</v>
      </c>
      <c r="CM52" s="47" t="str">
        <f t="shared" si="55"/>
        <v>#REF!</v>
      </c>
      <c r="CN52" s="47" t="str">
        <f t="shared" si="56"/>
        <v>#REF!</v>
      </c>
      <c r="CO52" s="47" t="str">
        <f t="shared" si="57"/>
        <v>#REF!</v>
      </c>
      <c r="CP52" s="47" t="str">
        <f t="shared" si="58"/>
        <v>#REF!</v>
      </c>
      <c r="CQ52" s="48"/>
      <c r="CR52" s="47" t="str">
        <f t="shared" ref="CR52:CU52" si="427">(M52-BY52)/M52</f>
        <v>#REF!</v>
      </c>
      <c r="CS52" s="47" t="str">
        <f t="shared" si="427"/>
        <v>#REF!</v>
      </c>
      <c r="CT52" s="47" t="str">
        <f t="shared" si="427"/>
        <v>#REF!</v>
      </c>
      <c r="CU52" s="47" t="str">
        <f t="shared" si="427"/>
        <v>#REF!</v>
      </c>
      <c r="CV52" s="48"/>
      <c r="CW52" s="47" t="str">
        <f t="shared" si="60"/>
        <v>#REF!</v>
      </c>
      <c r="CX52" s="47" t="str">
        <f t="shared" ref="CX52:CY52" si="428">(R52-CI52)/R52</f>
        <v>#REF!</v>
      </c>
      <c r="CY52" s="47" t="str">
        <f t="shared" si="428"/>
        <v>#REF!</v>
      </c>
      <c r="CZ52" s="47" t="str">
        <f t="shared" ref="CZ52:DA52" si="429">(T52-CD52)/T52</f>
        <v>#REF!</v>
      </c>
      <c r="DA52" s="47" t="str">
        <f t="shared" si="429"/>
        <v>#REF!</v>
      </c>
      <c r="DB52" s="48"/>
      <c r="DC52" s="47" t="str">
        <f t="shared" ref="DC52:DE52" si="430">MAX(0,CN52)*$DB52</f>
        <v>#REF!</v>
      </c>
      <c r="DD52" s="47" t="str">
        <f t="shared" si="430"/>
        <v>#REF!</v>
      </c>
      <c r="DE52" s="47" t="str">
        <f t="shared" si="430"/>
        <v>#REF!</v>
      </c>
      <c r="DF52" s="47" t="str">
        <f t="shared" ref="DF52:DI52" si="431">MAX(0,CR52)*$DB52</f>
        <v>#REF!</v>
      </c>
      <c r="DG52" s="47" t="str">
        <f t="shared" si="431"/>
        <v>#REF!</v>
      </c>
      <c r="DH52" s="47" t="str">
        <f t="shared" si="431"/>
        <v>#REF!</v>
      </c>
      <c r="DI52" s="47" t="str">
        <f t="shared" si="431"/>
        <v>#REF!</v>
      </c>
      <c r="DJ52" s="47" t="str">
        <f t="shared" ref="DJ52:DN52" si="432">MAX(0,CW52)*$DB52</f>
        <v>#REF!</v>
      </c>
      <c r="DK52" s="47" t="str">
        <f t="shared" si="432"/>
        <v>#REF!</v>
      </c>
      <c r="DL52" s="47" t="str">
        <f t="shared" si="432"/>
        <v>#REF!</v>
      </c>
      <c r="DM52" s="47" t="str">
        <f t="shared" si="432"/>
        <v>#REF!</v>
      </c>
      <c r="DN52" s="47" t="str">
        <f t="shared" si="432"/>
        <v>#REF!</v>
      </c>
      <c r="DO52" s="45"/>
      <c r="DP52" s="45"/>
      <c r="DQ52" s="45"/>
      <c r="DR52" s="45"/>
      <c r="DS52" s="45"/>
      <c r="DT52" s="45"/>
      <c r="DU52" s="45"/>
      <c r="DV52" s="66">
        <f t="shared" si="66"/>
        <v>0</v>
      </c>
      <c r="DW52" s="56"/>
      <c r="DX52" s="67"/>
    </row>
    <row r="53" ht="14.25" customHeight="1">
      <c r="A53" s="34" t="s">
        <v>33</v>
      </c>
      <c r="B53" s="68"/>
      <c r="C53" s="59" t="str">
        <f t="shared" si="211"/>
        <v/>
      </c>
      <c r="D53" s="59" t="str">
        <f t="shared" si="212"/>
        <v/>
      </c>
      <c r="E53" s="60" t="str">
        <f t="shared" si="213"/>
        <v/>
      </c>
      <c r="F53" s="72">
        <f t="shared" si="279"/>
        <v>0</v>
      </c>
      <c r="G53" s="59" t="str">
        <f t="shared" si="214"/>
        <v/>
      </c>
      <c r="H53" s="59" t="str">
        <f t="shared" si="215"/>
        <v/>
      </c>
      <c r="I53" s="62"/>
      <c r="J53" s="43"/>
      <c r="K53" s="43"/>
      <c r="L53" s="43"/>
      <c r="M53" s="43"/>
      <c r="N53" s="43"/>
      <c r="O53" s="43"/>
      <c r="P53" s="63"/>
      <c r="Q53" s="63"/>
      <c r="R53" s="43"/>
      <c r="S53" s="43"/>
      <c r="T53" s="43"/>
      <c r="U53" s="43"/>
      <c r="V53" s="43">
        <f t="shared" si="10"/>
        <v>0</v>
      </c>
      <c r="W53" s="45" t="str">
        <f t="shared" si="11"/>
        <v>#DIV/0!</v>
      </c>
      <c r="X53" s="45" t="str">
        <f t="shared" si="12"/>
        <v>#DIV/0!</v>
      </c>
      <c r="Y53" s="43">
        <f t="shared" si="13"/>
        <v>0</v>
      </c>
      <c r="Z53" s="43">
        <f t="shared" si="14"/>
        <v>0</v>
      </c>
      <c r="AA53" s="43">
        <f t="shared" si="15"/>
        <v>0</v>
      </c>
      <c r="AB53" s="43">
        <f t="shared" si="16"/>
        <v>0</v>
      </c>
      <c r="AC53" s="43">
        <f t="shared" si="17"/>
        <v>0</v>
      </c>
      <c r="AD53" s="43">
        <f t="shared" si="18"/>
        <v>0</v>
      </c>
      <c r="AE53" s="44"/>
      <c r="AF53" s="45" t="str">
        <f t="shared" si="19"/>
        <v>#DIV/0!</v>
      </c>
      <c r="AG53" s="45" t="str">
        <f t="shared" si="20"/>
        <v>#DIV/0!</v>
      </c>
      <c r="AH53" s="45" t="str">
        <f t="shared" si="21"/>
        <v>#DIV/0!</v>
      </c>
      <c r="AI53" s="45" t="str">
        <f t="shared" si="22"/>
        <v>#DIV/0!</v>
      </c>
      <c r="AJ53" s="45" t="str">
        <f t="shared" si="23"/>
        <v>#DIV/0!</v>
      </c>
      <c r="AK53" s="44"/>
      <c r="AL53" s="45" t="str">
        <f t="shared" si="24"/>
        <v>#DIV/0!</v>
      </c>
      <c r="AM53" s="70" t="str">
        <f t="shared" si="25"/>
        <v>#DIV/0!</v>
      </c>
      <c r="AN53" s="47" t="str">
        <f t="shared" si="26"/>
        <v>#NUM!</v>
      </c>
      <c r="AO53" s="47" t="str">
        <f t="shared" si="27"/>
        <v>#NUM!</v>
      </c>
      <c r="AP53" s="73">
        <f t="shared" si="28"/>
        <v>0.465</v>
      </c>
      <c r="AQ53" s="47" t="str">
        <f t="shared" si="29"/>
        <v>#DIV/0!</v>
      </c>
      <c r="AR53" s="47" t="str">
        <f t="shared" si="30"/>
        <v>#DIV/0!</v>
      </c>
      <c r="AS53" s="48"/>
      <c r="AT53" s="47" t="str">
        <f t="shared" si="31"/>
        <v>#DIV/0!</v>
      </c>
      <c r="AU53" s="71" t="str">
        <f t="shared" si="32"/>
        <v/>
      </c>
      <c r="AV53" s="47">
        <f t="shared" si="33"/>
        <v>-15</v>
      </c>
      <c r="AW53" s="48" t="str">
        <f t="shared" si="34"/>
        <v/>
      </c>
      <c r="AX53" s="47" t="str">
        <f t="shared" si="35"/>
        <v>#DIV/0!</v>
      </c>
      <c r="AY53" s="47">
        <f t="shared" si="36"/>
        <v>0.4375</v>
      </c>
      <c r="AZ53" s="47">
        <f t="shared" si="37"/>
        <v>0.6956521739</v>
      </c>
      <c r="BA53" s="52"/>
      <c r="BB53" s="48"/>
      <c r="BC53" s="48"/>
      <c r="BD53" s="47" t="str">
        <f t="shared" si="38"/>
        <v>#DIV/0!</v>
      </c>
      <c r="BE53" s="47" t="str">
        <f t="shared" si="39"/>
        <v>#DIV/0!</v>
      </c>
      <c r="BF53" s="48" t="str">
        <f t="shared" ref="BF53:BK53" si="433">L53</f>
        <v/>
      </c>
      <c r="BG53" s="48" t="str">
        <f t="shared" si="433"/>
        <v/>
      </c>
      <c r="BH53" s="48" t="str">
        <f t="shared" si="433"/>
        <v/>
      </c>
      <c r="BI53" s="48" t="str">
        <f t="shared" si="433"/>
        <v/>
      </c>
      <c r="BJ53" s="48" t="str">
        <f t="shared" si="433"/>
        <v/>
      </c>
      <c r="BK53" s="48" t="str">
        <f t="shared" si="433"/>
        <v/>
      </c>
      <c r="BL53" s="48" t="str">
        <f t="shared" si="41"/>
        <v/>
      </c>
      <c r="BM53" s="48">
        <f t="shared" si="42"/>
        <v>0</v>
      </c>
      <c r="BN53" s="48">
        <f t="shared" si="43"/>
        <v>0</v>
      </c>
      <c r="BO53" s="48">
        <f t="shared" si="44"/>
        <v>0</v>
      </c>
      <c r="BP53" s="47" t="str">
        <f t="shared" si="45"/>
        <v>#DIV/0!</v>
      </c>
      <c r="BQ53" s="54"/>
      <c r="BR53" s="54"/>
      <c r="BS53" s="54"/>
      <c r="BT53" s="47" t="str">
        <f t="shared" si="46"/>
        <v>#NUM!</v>
      </c>
      <c r="BU53" s="48"/>
      <c r="BV53" s="48">
        <f t="shared" si="47"/>
        <v>3</v>
      </c>
      <c r="BW53" s="48" t="str">
        <f t="shared" ref="BW53:CA53" si="434">MAX(($BU53*BW$58)+BW$59,2)</f>
        <v>#REF!</v>
      </c>
      <c r="BX53" s="48" t="str">
        <f t="shared" si="434"/>
        <v>#REF!</v>
      </c>
      <c r="BY53" s="48" t="str">
        <f t="shared" si="434"/>
        <v>#REF!</v>
      </c>
      <c r="BZ53" s="48" t="str">
        <f t="shared" si="434"/>
        <v>#REF!</v>
      </c>
      <c r="CA53" s="48" t="str">
        <f t="shared" si="434"/>
        <v>#REF!</v>
      </c>
      <c r="CB53" s="48" t="str">
        <f t="shared" si="49"/>
        <v>#REF!</v>
      </c>
      <c r="CC53" s="48" t="str">
        <f t="shared" ref="CC53:CH53" si="435">MAX(($BU53*CC$58)+CC$59,2)</f>
        <v>#REF!</v>
      </c>
      <c r="CD53" s="48" t="str">
        <f t="shared" si="435"/>
        <v>#REF!</v>
      </c>
      <c r="CE53" s="48" t="str">
        <f t="shared" si="435"/>
        <v>#REF!</v>
      </c>
      <c r="CF53" s="48" t="str">
        <f t="shared" si="435"/>
        <v>#REF!</v>
      </c>
      <c r="CG53" s="48" t="str">
        <f t="shared" si="435"/>
        <v>#REF!</v>
      </c>
      <c r="CH53" s="48" t="str">
        <f t="shared" si="435"/>
        <v>#REF!</v>
      </c>
      <c r="CI53" s="48" t="str">
        <f t="shared" si="51"/>
        <v>#REF!</v>
      </c>
      <c r="CJ53" s="48" t="str">
        <f t="shared" si="52"/>
        <v>#REF!</v>
      </c>
      <c r="CK53" s="48" t="str">
        <f t="shared" si="53"/>
        <v>#REF!</v>
      </c>
      <c r="CL53" s="48" t="str">
        <f t="shared" si="54"/>
        <v>#REF!</v>
      </c>
      <c r="CM53" s="47" t="str">
        <f t="shared" si="55"/>
        <v>#REF!</v>
      </c>
      <c r="CN53" s="47" t="str">
        <f t="shared" si="56"/>
        <v>#REF!</v>
      </c>
      <c r="CO53" s="47" t="str">
        <f t="shared" si="57"/>
        <v>#REF!</v>
      </c>
      <c r="CP53" s="47" t="str">
        <f t="shared" si="58"/>
        <v>#REF!</v>
      </c>
      <c r="CQ53" s="48"/>
      <c r="CR53" s="47" t="str">
        <f t="shared" ref="CR53:CU53" si="436">(M53-BY53)/M53</f>
        <v>#REF!</v>
      </c>
      <c r="CS53" s="47" t="str">
        <f t="shared" si="436"/>
        <v>#REF!</v>
      </c>
      <c r="CT53" s="47" t="str">
        <f t="shared" si="436"/>
        <v>#REF!</v>
      </c>
      <c r="CU53" s="47" t="str">
        <f t="shared" si="436"/>
        <v>#REF!</v>
      </c>
      <c r="CV53" s="48"/>
      <c r="CW53" s="47" t="str">
        <f t="shared" si="60"/>
        <v>#REF!</v>
      </c>
      <c r="CX53" s="47" t="str">
        <f t="shared" ref="CX53:CY53" si="437">(R53-CI53)/R53</f>
        <v>#REF!</v>
      </c>
      <c r="CY53" s="47" t="str">
        <f t="shared" si="437"/>
        <v>#REF!</v>
      </c>
      <c r="CZ53" s="47" t="str">
        <f t="shared" ref="CZ53:DA53" si="438">(T53-CD53)/T53</f>
        <v>#REF!</v>
      </c>
      <c r="DA53" s="47" t="str">
        <f t="shared" si="438"/>
        <v>#REF!</v>
      </c>
      <c r="DB53" s="48"/>
      <c r="DC53" s="47" t="str">
        <f t="shared" ref="DC53:DE53" si="439">MAX(0,CN53)*$DB53</f>
        <v>#REF!</v>
      </c>
      <c r="DD53" s="47" t="str">
        <f t="shared" si="439"/>
        <v>#REF!</v>
      </c>
      <c r="DE53" s="47" t="str">
        <f t="shared" si="439"/>
        <v>#REF!</v>
      </c>
      <c r="DF53" s="47" t="str">
        <f t="shared" ref="DF53:DI53" si="440">MAX(0,CR53)*$DB53</f>
        <v>#REF!</v>
      </c>
      <c r="DG53" s="47" t="str">
        <f t="shared" si="440"/>
        <v>#REF!</v>
      </c>
      <c r="DH53" s="47" t="str">
        <f t="shared" si="440"/>
        <v>#REF!</v>
      </c>
      <c r="DI53" s="47" t="str">
        <f t="shared" si="440"/>
        <v>#REF!</v>
      </c>
      <c r="DJ53" s="47" t="str">
        <f t="shared" ref="DJ53:DN53" si="441">MAX(0,CW53)*$DB53</f>
        <v>#REF!</v>
      </c>
      <c r="DK53" s="47" t="str">
        <f t="shared" si="441"/>
        <v>#REF!</v>
      </c>
      <c r="DL53" s="47" t="str">
        <f t="shared" si="441"/>
        <v>#REF!</v>
      </c>
      <c r="DM53" s="47" t="str">
        <f t="shared" si="441"/>
        <v>#REF!</v>
      </c>
      <c r="DN53" s="47" t="str">
        <f t="shared" si="441"/>
        <v>#REF!</v>
      </c>
      <c r="DO53" s="45"/>
      <c r="DP53" s="45"/>
      <c r="DQ53" s="45"/>
      <c r="DR53" s="45"/>
      <c r="DS53" s="45"/>
      <c r="DT53" s="45"/>
      <c r="DU53" s="45"/>
      <c r="DV53" s="55">
        <f t="shared" si="66"/>
        <v>0</v>
      </c>
      <c r="DW53" s="56"/>
      <c r="DX53" s="67"/>
    </row>
    <row r="54" ht="14.25" customHeight="1">
      <c r="A54" s="34" t="s">
        <v>33</v>
      </c>
      <c r="B54" s="68"/>
      <c r="C54" s="59" t="str">
        <f t="shared" si="211"/>
        <v/>
      </c>
      <c r="D54" s="59" t="str">
        <f t="shared" si="212"/>
        <v/>
      </c>
      <c r="E54" s="60" t="str">
        <f t="shared" si="213"/>
        <v/>
      </c>
      <c r="F54" s="72">
        <f t="shared" si="279"/>
        <v>0</v>
      </c>
      <c r="G54" s="59" t="str">
        <f t="shared" si="214"/>
        <v/>
      </c>
      <c r="H54" s="59" t="str">
        <f t="shared" si="215"/>
        <v/>
      </c>
      <c r="I54" s="62"/>
      <c r="J54" s="43"/>
      <c r="K54" s="43"/>
      <c r="L54" s="43"/>
      <c r="M54" s="43"/>
      <c r="N54" s="43"/>
      <c r="O54" s="43"/>
      <c r="P54" s="63"/>
      <c r="Q54" s="63"/>
      <c r="R54" s="43"/>
      <c r="S54" s="43"/>
      <c r="T54" s="43"/>
      <c r="U54" s="43"/>
      <c r="V54" s="43">
        <f t="shared" si="10"/>
        <v>0</v>
      </c>
      <c r="W54" s="45" t="str">
        <f t="shared" si="11"/>
        <v>#DIV/0!</v>
      </c>
      <c r="X54" s="45" t="str">
        <f t="shared" si="12"/>
        <v>#DIV/0!</v>
      </c>
      <c r="Y54" s="43">
        <f t="shared" si="13"/>
        <v>0</v>
      </c>
      <c r="Z54" s="43">
        <f t="shared" si="14"/>
        <v>0</v>
      </c>
      <c r="AA54" s="43">
        <f t="shared" si="15"/>
        <v>0</v>
      </c>
      <c r="AB54" s="43">
        <f t="shared" si="16"/>
        <v>0</v>
      </c>
      <c r="AC54" s="43">
        <f t="shared" si="17"/>
        <v>0</v>
      </c>
      <c r="AD54" s="43">
        <f t="shared" si="18"/>
        <v>0</v>
      </c>
      <c r="AE54" s="44"/>
      <c r="AF54" s="45" t="str">
        <f t="shared" si="19"/>
        <v>#DIV/0!</v>
      </c>
      <c r="AG54" s="45" t="str">
        <f t="shared" si="20"/>
        <v>#DIV/0!</v>
      </c>
      <c r="AH54" s="45" t="str">
        <f t="shared" si="21"/>
        <v>#DIV/0!</v>
      </c>
      <c r="AI54" s="45" t="str">
        <f t="shared" si="22"/>
        <v>#DIV/0!</v>
      </c>
      <c r="AJ54" s="45" t="str">
        <f t="shared" si="23"/>
        <v>#DIV/0!</v>
      </c>
      <c r="AK54" s="44"/>
      <c r="AL54" s="45" t="str">
        <f t="shared" si="24"/>
        <v>#DIV/0!</v>
      </c>
      <c r="AM54" s="70" t="str">
        <f t="shared" si="25"/>
        <v>#DIV/0!</v>
      </c>
      <c r="AN54" s="47" t="str">
        <f t="shared" si="26"/>
        <v>#NUM!</v>
      </c>
      <c r="AO54" s="47" t="str">
        <f t="shared" si="27"/>
        <v>#NUM!</v>
      </c>
      <c r="AP54" s="73">
        <f t="shared" si="28"/>
        <v>0.465</v>
      </c>
      <c r="AQ54" s="47" t="str">
        <f t="shared" si="29"/>
        <v>#DIV/0!</v>
      </c>
      <c r="AR54" s="47" t="str">
        <f t="shared" si="30"/>
        <v>#DIV/0!</v>
      </c>
      <c r="AS54" s="48"/>
      <c r="AT54" s="47" t="str">
        <f t="shared" si="31"/>
        <v>#DIV/0!</v>
      </c>
      <c r="AU54" s="71" t="str">
        <f t="shared" si="32"/>
        <v/>
      </c>
      <c r="AV54" s="47">
        <f t="shared" si="33"/>
        <v>-15</v>
      </c>
      <c r="AW54" s="48" t="str">
        <f t="shared" si="34"/>
        <v/>
      </c>
      <c r="AX54" s="47" t="str">
        <f t="shared" si="35"/>
        <v>#DIV/0!</v>
      </c>
      <c r="AY54" s="47">
        <f t="shared" si="36"/>
        <v>0.4375</v>
      </c>
      <c r="AZ54" s="47">
        <f t="shared" si="37"/>
        <v>0.6956521739</v>
      </c>
      <c r="BA54" s="52"/>
      <c r="BB54" s="48"/>
      <c r="BC54" s="48"/>
      <c r="BD54" s="47" t="str">
        <f t="shared" si="38"/>
        <v>#DIV/0!</v>
      </c>
      <c r="BE54" s="47" t="str">
        <f t="shared" si="39"/>
        <v>#DIV/0!</v>
      </c>
      <c r="BF54" s="48" t="str">
        <f t="shared" ref="BF54:BK54" si="442">L54</f>
        <v/>
      </c>
      <c r="BG54" s="48" t="str">
        <f t="shared" si="442"/>
        <v/>
      </c>
      <c r="BH54" s="48" t="str">
        <f t="shared" si="442"/>
        <v/>
      </c>
      <c r="BI54" s="48" t="str">
        <f t="shared" si="442"/>
        <v/>
      </c>
      <c r="BJ54" s="48" t="str">
        <f t="shared" si="442"/>
        <v/>
      </c>
      <c r="BK54" s="48" t="str">
        <f t="shared" si="442"/>
        <v/>
      </c>
      <c r="BL54" s="48" t="str">
        <f t="shared" si="41"/>
        <v/>
      </c>
      <c r="BM54" s="48">
        <f t="shared" si="42"/>
        <v>0</v>
      </c>
      <c r="BN54" s="48">
        <f t="shared" si="43"/>
        <v>0</v>
      </c>
      <c r="BO54" s="48">
        <f t="shared" si="44"/>
        <v>0</v>
      </c>
      <c r="BP54" s="47" t="str">
        <f t="shared" si="45"/>
        <v>#DIV/0!</v>
      </c>
      <c r="BQ54" s="54"/>
      <c r="BR54" s="54"/>
      <c r="BS54" s="54"/>
      <c r="BT54" s="47" t="str">
        <f t="shared" si="46"/>
        <v>#NUM!</v>
      </c>
      <c r="BU54" s="48"/>
      <c r="BV54" s="48">
        <f t="shared" si="47"/>
        <v>3</v>
      </c>
      <c r="BW54" s="48" t="str">
        <f t="shared" ref="BW54:CA54" si="443">MAX(($BU54*BW$58)+BW$59,2)</f>
        <v>#REF!</v>
      </c>
      <c r="BX54" s="48" t="str">
        <f t="shared" si="443"/>
        <v>#REF!</v>
      </c>
      <c r="BY54" s="48" t="str">
        <f t="shared" si="443"/>
        <v>#REF!</v>
      </c>
      <c r="BZ54" s="48" t="str">
        <f t="shared" si="443"/>
        <v>#REF!</v>
      </c>
      <c r="CA54" s="48" t="str">
        <f t="shared" si="443"/>
        <v>#REF!</v>
      </c>
      <c r="CB54" s="48" t="str">
        <f t="shared" si="49"/>
        <v>#REF!</v>
      </c>
      <c r="CC54" s="48" t="str">
        <f t="shared" ref="CC54:CH54" si="444">MAX(($BU54*CC$58)+CC$59,2)</f>
        <v>#REF!</v>
      </c>
      <c r="CD54" s="48" t="str">
        <f t="shared" si="444"/>
        <v>#REF!</v>
      </c>
      <c r="CE54" s="48" t="str">
        <f t="shared" si="444"/>
        <v>#REF!</v>
      </c>
      <c r="CF54" s="48" t="str">
        <f t="shared" si="444"/>
        <v>#REF!</v>
      </c>
      <c r="CG54" s="48" t="str">
        <f t="shared" si="444"/>
        <v>#REF!</v>
      </c>
      <c r="CH54" s="48" t="str">
        <f t="shared" si="444"/>
        <v>#REF!</v>
      </c>
      <c r="CI54" s="48" t="str">
        <f t="shared" si="51"/>
        <v>#REF!</v>
      </c>
      <c r="CJ54" s="48" t="str">
        <f t="shared" si="52"/>
        <v>#REF!</v>
      </c>
      <c r="CK54" s="48" t="str">
        <f t="shared" si="53"/>
        <v>#REF!</v>
      </c>
      <c r="CL54" s="48" t="str">
        <f t="shared" si="54"/>
        <v>#REF!</v>
      </c>
      <c r="CM54" s="47" t="str">
        <f t="shared" si="55"/>
        <v>#REF!</v>
      </c>
      <c r="CN54" s="47" t="str">
        <f t="shared" si="56"/>
        <v>#REF!</v>
      </c>
      <c r="CO54" s="47" t="str">
        <f t="shared" si="57"/>
        <v>#REF!</v>
      </c>
      <c r="CP54" s="47" t="str">
        <f t="shared" si="58"/>
        <v>#REF!</v>
      </c>
      <c r="CQ54" s="48"/>
      <c r="CR54" s="47" t="str">
        <f t="shared" ref="CR54:CU54" si="445">(M54-BY54)/M54</f>
        <v>#REF!</v>
      </c>
      <c r="CS54" s="47" t="str">
        <f t="shared" si="445"/>
        <v>#REF!</v>
      </c>
      <c r="CT54" s="47" t="str">
        <f t="shared" si="445"/>
        <v>#REF!</v>
      </c>
      <c r="CU54" s="47" t="str">
        <f t="shared" si="445"/>
        <v>#REF!</v>
      </c>
      <c r="CV54" s="48"/>
      <c r="CW54" s="47" t="str">
        <f t="shared" si="60"/>
        <v>#REF!</v>
      </c>
      <c r="CX54" s="47" t="str">
        <f t="shared" ref="CX54:CY54" si="446">(R54-CI54)/R54</f>
        <v>#REF!</v>
      </c>
      <c r="CY54" s="47" t="str">
        <f t="shared" si="446"/>
        <v>#REF!</v>
      </c>
      <c r="CZ54" s="47" t="str">
        <f t="shared" ref="CZ54:DA54" si="447">(T54-CD54)/T54</f>
        <v>#REF!</v>
      </c>
      <c r="DA54" s="47" t="str">
        <f t="shared" si="447"/>
        <v>#REF!</v>
      </c>
      <c r="DB54" s="48"/>
      <c r="DC54" s="47" t="str">
        <f t="shared" ref="DC54:DE54" si="448">MAX(0,CN54)*$DB54</f>
        <v>#REF!</v>
      </c>
      <c r="DD54" s="47" t="str">
        <f t="shared" si="448"/>
        <v>#REF!</v>
      </c>
      <c r="DE54" s="47" t="str">
        <f t="shared" si="448"/>
        <v>#REF!</v>
      </c>
      <c r="DF54" s="47" t="str">
        <f t="shared" ref="DF54:DI54" si="449">MAX(0,CR54)*$DB54</f>
        <v>#REF!</v>
      </c>
      <c r="DG54" s="47" t="str">
        <f t="shared" si="449"/>
        <v>#REF!</v>
      </c>
      <c r="DH54" s="47" t="str">
        <f t="shared" si="449"/>
        <v>#REF!</v>
      </c>
      <c r="DI54" s="47" t="str">
        <f t="shared" si="449"/>
        <v>#REF!</v>
      </c>
      <c r="DJ54" s="47" t="str">
        <f t="shared" ref="DJ54:DN54" si="450">MAX(0,CW54)*$DB54</f>
        <v>#REF!</v>
      </c>
      <c r="DK54" s="47" t="str">
        <f t="shared" si="450"/>
        <v>#REF!</v>
      </c>
      <c r="DL54" s="47" t="str">
        <f t="shared" si="450"/>
        <v>#REF!</v>
      </c>
      <c r="DM54" s="47" t="str">
        <f t="shared" si="450"/>
        <v>#REF!</v>
      </c>
      <c r="DN54" s="47" t="str">
        <f t="shared" si="450"/>
        <v>#REF!</v>
      </c>
      <c r="DO54" s="45"/>
      <c r="DP54" s="45"/>
      <c r="DQ54" s="45"/>
      <c r="DR54" s="45"/>
      <c r="DS54" s="45"/>
      <c r="DT54" s="45"/>
      <c r="DU54" s="45"/>
      <c r="DV54" s="66">
        <f t="shared" si="66"/>
        <v>0</v>
      </c>
      <c r="DW54" s="56"/>
      <c r="DX54" s="67"/>
    </row>
    <row r="55" ht="14.25" customHeight="1">
      <c r="A55" s="34" t="s">
        <v>33</v>
      </c>
      <c r="B55" s="68"/>
      <c r="C55" s="59" t="str">
        <f t="shared" si="211"/>
        <v/>
      </c>
      <c r="D55" s="59" t="str">
        <f t="shared" si="212"/>
        <v/>
      </c>
      <c r="E55" s="60" t="str">
        <f t="shared" si="213"/>
        <v/>
      </c>
      <c r="F55" s="72">
        <f t="shared" si="279"/>
        <v>0</v>
      </c>
      <c r="G55" s="59" t="str">
        <f t="shared" si="214"/>
        <v/>
      </c>
      <c r="H55" s="59" t="str">
        <f t="shared" si="215"/>
        <v/>
      </c>
      <c r="I55" s="62"/>
      <c r="J55" s="43"/>
      <c r="K55" s="43"/>
      <c r="L55" s="43"/>
      <c r="M55" s="43"/>
      <c r="N55" s="43"/>
      <c r="O55" s="43"/>
      <c r="P55" s="63"/>
      <c r="Q55" s="63"/>
      <c r="R55" s="43"/>
      <c r="S55" s="43"/>
      <c r="T55" s="43"/>
      <c r="U55" s="43"/>
      <c r="V55" s="43">
        <f t="shared" si="10"/>
        <v>0</v>
      </c>
      <c r="W55" s="45" t="str">
        <f t="shared" si="11"/>
        <v>#DIV/0!</v>
      </c>
      <c r="X55" s="45" t="str">
        <f t="shared" si="12"/>
        <v>#DIV/0!</v>
      </c>
      <c r="Y55" s="43">
        <f t="shared" si="13"/>
        <v>0</v>
      </c>
      <c r="Z55" s="43">
        <f t="shared" si="14"/>
        <v>0</v>
      </c>
      <c r="AA55" s="43">
        <f t="shared" si="15"/>
        <v>0</v>
      </c>
      <c r="AB55" s="43">
        <f t="shared" si="16"/>
        <v>0</v>
      </c>
      <c r="AC55" s="43">
        <f t="shared" si="17"/>
        <v>0</v>
      </c>
      <c r="AD55" s="43">
        <f t="shared" si="18"/>
        <v>0</v>
      </c>
      <c r="AE55" s="44"/>
      <c r="AF55" s="45" t="str">
        <f t="shared" si="19"/>
        <v>#DIV/0!</v>
      </c>
      <c r="AG55" s="45" t="str">
        <f t="shared" si="20"/>
        <v>#DIV/0!</v>
      </c>
      <c r="AH55" s="45" t="str">
        <f t="shared" si="21"/>
        <v>#DIV/0!</v>
      </c>
      <c r="AI55" s="45" t="str">
        <f t="shared" si="22"/>
        <v>#DIV/0!</v>
      </c>
      <c r="AJ55" s="45" t="str">
        <f t="shared" si="23"/>
        <v>#DIV/0!</v>
      </c>
      <c r="AK55" s="44"/>
      <c r="AL55" s="45" t="str">
        <f t="shared" si="24"/>
        <v>#DIV/0!</v>
      </c>
      <c r="AM55" s="70" t="str">
        <f t="shared" si="25"/>
        <v>#DIV/0!</v>
      </c>
      <c r="AN55" s="47" t="str">
        <f t="shared" si="26"/>
        <v>#NUM!</v>
      </c>
      <c r="AO55" s="47" t="str">
        <f t="shared" si="27"/>
        <v>#NUM!</v>
      </c>
      <c r="AP55" s="73">
        <f t="shared" si="28"/>
        <v>0.465</v>
      </c>
      <c r="AQ55" s="47" t="str">
        <f t="shared" si="29"/>
        <v>#DIV/0!</v>
      </c>
      <c r="AR55" s="47" t="str">
        <f t="shared" si="30"/>
        <v>#DIV/0!</v>
      </c>
      <c r="AS55" s="48"/>
      <c r="AT55" s="47" t="str">
        <f t="shared" si="31"/>
        <v>#DIV/0!</v>
      </c>
      <c r="AU55" s="71" t="str">
        <f t="shared" si="32"/>
        <v/>
      </c>
      <c r="AV55" s="47">
        <f t="shared" si="33"/>
        <v>-15</v>
      </c>
      <c r="AW55" s="48" t="str">
        <f t="shared" si="34"/>
        <v/>
      </c>
      <c r="AX55" s="47" t="str">
        <f t="shared" si="35"/>
        <v>#DIV/0!</v>
      </c>
      <c r="AY55" s="47">
        <f t="shared" si="36"/>
        <v>0.4375</v>
      </c>
      <c r="AZ55" s="47">
        <f t="shared" si="37"/>
        <v>0.6956521739</v>
      </c>
      <c r="BA55" s="52"/>
      <c r="BB55" s="48"/>
      <c r="BC55" s="48"/>
      <c r="BD55" s="47" t="str">
        <f t="shared" si="38"/>
        <v>#DIV/0!</v>
      </c>
      <c r="BE55" s="47" t="str">
        <f t="shared" si="39"/>
        <v>#DIV/0!</v>
      </c>
      <c r="BF55" s="48" t="str">
        <f t="shared" ref="BF55:BK55" si="451">L55</f>
        <v/>
      </c>
      <c r="BG55" s="48" t="str">
        <f t="shared" si="451"/>
        <v/>
      </c>
      <c r="BH55" s="48" t="str">
        <f t="shared" si="451"/>
        <v/>
      </c>
      <c r="BI55" s="48" t="str">
        <f t="shared" si="451"/>
        <v/>
      </c>
      <c r="BJ55" s="48" t="str">
        <f t="shared" si="451"/>
        <v/>
      </c>
      <c r="BK55" s="48" t="str">
        <f t="shared" si="451"/>
        <v/>
      </c>
      <c r="BL55" s="48" t="str">
        <f t="shared" si="41"/>
        <v/>
      </c>
      <c r="BM55" s="48">
        <f t="shared" si="42"/>
        <v>0</v>
      </c>
      <c r="BN55" s="48">
        <f t="shared" si="43"/>
        <v>0</v>
      </c>
      <c r="BO55" s="48">
        <f t="shared" si="44"/>
        <v>0</v>
      </c>
      <c r="BP55" s="47" t="str">
        <f t="shared" si="45"/>
        <v>#DIV/0!</v>
      </c>
      <c r="BQ55" s="54"/>
      <c r="BR55" s="54"/>
      <c r="BS55" s="54"/>
      <c r="BT55" s="47" t="str">
        <f t="shared" si="46"/>
        <v>#NUM!</v>
      </c>
      <c r="BU55" s="48"/>
      <c r="BV55" s="48">
        <f t="shared" si="47"/>
        <v>3</v>
      </c>
      <c r="BW55" s="48" t="str">
        <f t="shared" ref="BW55:CA55" si="452">MAX(($BU55*BW$58)+BW$59,2)</f>
        <v>#REF!</v>
      </c>
      <c r="BX55" s="48" t="str">
        <f t="shared" si="452"/>
        <v>#REF!</v>
      </c>
      <c r="BY55" s="48" t="str">
        <f t="shared" si="452"/>
        <v>#REF!</v>
      </c>
      <c r="BZ55" s="48" t="str">
        <f t="shared" si="452"/>
        <v>#REF!</v>
      </c>
      <c r="CA55" s="48" t="str">
        <f t="shared" si="452"/>
        <v>#REF!</v>
      </c>
      <c r="CB55" s="48" t="str">
        <f t="shared" si="49"/>
        <v>#REF!</v>
      </c>
      <c r="CC55" s="48" t="str">
        <f t="shared" ref="CC55:CH55" si="453">MAX(($BU55*CC$58)+CC$59,2)</f>
        <v>#REF!</v>
      </c>
      <c r="CD55" s="48" t="str">
        <f t="shared" si="453"/>
        <v>#REF!</v>
      </c>
      <c r="CE55" s="48" t="str">
        <f t="shared" si="453"/>
        <v>#REF!</v>
      </c>
      <c r="CF55" s="48" t="str">
        <f t="shared" si="453"/>
        <v>#REF!</v>
      </c>
      <c r="CG55" s="48" t="str">
        <f t="shared" si="453"/>
        <v>#REF!</v>
      </c>
      <c r="CH55" s="48" t="str">
        <f t="shared" si="453"/>
        <v>#REF!</v>
      </c>
      <c r="CI55" s="48" t="str">
        <f t="shared" si="51"/>
        <v>#REF!</v>
      </c>
      <c r="CJ55" s="48" t="str">
        <f t="shared" si="52"/>
        <v>#REF!</v>
      </c>
      <c r="CK55" s="48" t="str">
        <f t="shared" si="53"/>
        <v>#REF!</v>
      </c>
      <c r="CL55" s="48" t="str">
        <f t="shared" si="54"/>
        <v>#REF!</v>
      </c>
      <c r="CM55" s="47" t="str">
        <f t="shared" si="55"/>
        <v>#REF!</v>
      </c>
      <c r="CN55" s="47" t="str">
        <f t="shared" si="56"/>
        <v>#REF!</v>
      </c>
      <c r="CO55" s="47" t="str">
        <f t="shared" si="57"/>
        <v>#REF!</v>
      </c>
      <c r="CP55" s="47" t="str">
        <f t="shared" si="58"/>
        <v>#REF!</v>
      </c>
      <c r="CQ55" s="48"/>
      <c r="CR55" s="47" t="str">
        <f t="shared" ref="CR55:CU55" si="454">(M55-BY55)/M55</f>
        <v>#REF!</v>
      </c>
      <c r="CS55" s="47" t="str">
        <f t="shared" si="454"/>
        <v>#REF!</v>
      </c>
      <c r="CT55" s="47" t="str">
        <f t="shared" si="454"/>
        <v>#REF!</v>
      </c>
      <c r="CU55" s="47" t="str">
        <f t="shared" si="454"/>
        <v>#REF!</v>
      </c>
      <c r="CV55" s="48"/>
      <c r="CW55" s="47" t="str">
        <f t="shared" si="60"/>
        <v>#REF!</v>
      </c>
      <c r="CX55" s="47" t="str">
        <f t="shared" ref="CX55:CY55" si="455">(R55-CI55)/R55</f>
        <v>#REF!</v>
      </c>
      <c r="CY55" s="47" t="str">
        <f t="shared" si="455"/>
        <v>#REF!</v>
      </c>
      <c r="CZ55" s="47" t="str">
        <f t="shared" ref="CZ55:DA55" si="456">(T55-CD55)/T55</f>
        <v>#REF!</v>
      </c>
      <c r="DA55" s="47" t="str">
        <f t="shared" si="456"/>
        <v>#REF!</v>
      </c>
      <c r="DB55" s="48"/>
      <c r="DC55" s="47" t="str">
        <f t="shared" ref="DC55:DE55" si="457">MAX(0,CN55)*$DB55</f>
        <v>#REF!</v>
      </c>
      <c r="DD55" s="47" t="str">
        <f t="shared" si="457"/>
        <v>#REF!</v>
      </c>
      <c r="DE55" s="47" t="str">
        <f t="shared" si="457"/>
        <v>#REF!</v>
      </c>
      <c r="DF55" s="47" t="str">
        <f t="shared" ref="DF55:DI55" si="458">MAX(0,CR55)*$DB55</f>
        <v>#REF!</v>
      </c>
      <c r="DG55" s="47" t="str">
        <f t="shared" si="458"/>
        <v>#REF!</v>
      </c>
      <c r="DH55" s="47" t="str">
        <f t="shared" si="458"/>
        <v>#REF!</v>
      </c>
      <c r="DI55" s="47" t="str">
        <f t="shared" si="458"/>
        <v>#REF!</v>
      </c>
      <c r="DJ55" s="47" t="str">
        <f t="shared" ref="DJ55:DN55" si="459">MAX(0,CW55)*$DB55</f>
        <v>#REF!</v>
      </c>
      <c r="DK55" s="47" t="str">
        <f t="shared" si="459"/>
        <v>#REF!</v>
      </c>
      <c r="DL55" s="47" t="str">
        <f t="shared" si="459"/>
        <v>#REF!</v>
      </c>
      <c r="DM55" s="47" t="str">
        <f t="shared" si="459"/>
        <v>#REF!</v>
      </c>
      <c r="DN55" s="47" t="str">
        <f t="shared" si="459"/>
        <v>#REF!</v>
      </c>
      <c r="DO55" s="45"/>
      <c r="DP55" s="45"/>
      <c r="DQ55" s="45"/>
      <c r="DR55" s="45"/>
      <c r="DS55" s="45"/>
      <c r="DT55" s="45"/>
      <c r="DU55" s="45"/>
      <c r="DV55" s="55">
        <f t="shared" si="66"/>
        <v>0</v>
      </c>
      <c r="DW55" s="56"/>
      <c r="DX55" s="67"/>
    </row>
    <row r="56" ht="14.25" customHeight="1">
      <c r="A56" s="34" t="s">
        <v>33</v>
      </c>
      <c r="B56" s="68"/>
      <c r="C56" s="59" t="str">
        <f t="shared" si="211"/>
        <v/>
      </c>
      <c r="D56" s="59" t="str">
        <f t="shared" si="212"/>
        <v/>
      </c>
      <c r="E56" s="60" t="str">
        <f t="shared" si="213"/>
        <v/>
      </c>
      <c r="F56" s="72">
        <f t="shared" si="279"/>
        <v>0</v>
      </c>
      <c r="G56" s="59" t="str">
        <f t="shared" si="214"/>
        <v/>
      </c>
      <c r="H56" s="59" t="str">
        <f t="shared" si="215"/>
        <v/>
      </c>
      <c r="I56" s="62"/>
      <c r="J56" s="43"/>
      <c r="K56" s="43"/>
      <c r="L56" s="43"/>
      <c r="M56" s="43"/>
      <c r="N56" s="43"/>
      <c r="O56" s="43"/>
      <c r="P56" s="63"/>
      <c r="Q56" s="63"/>
      <c r="R56" s="43"/>
      <c r="S56" s="43"/>
      <c r="T56" s="43"/>
      <c r="U56" s="43"/>
      <c r="V56" s="43">
        <f t="shared" si="10"/>
        <v>0</v>
      </c>
      <c r="W56" s="45" t="str">
        <f t="shared" si="11"/>
        <v>#DIV/0!</v>
      </c>
      <c r="X56" s="45" t="str">
        <f t="shared" si="12"/>
        <v>#DIV/0!</v>
      </c>
      <c r="Y56" s="43">
        <f t="shared" si="13"/>
        <v>0</v>
      </c>
      <c r="Z56" s="43">
        <f t="shared" si="14"/>
        <v>0</v>
      </c>
      <c r="AA56" s="43">
        <f t="shared" si="15"/>
        <v>0</v>
      </c>
      <c r="AB56" s="43">
        <f t="shared" si="16"/>
        <v>0</v>
      </c>
      <c r="AC56" s="43">
        <f t="shared" si="17"/>
        <v>0</v>
      </c>
      <c r="AD56" s="43">
        <f t="shared" si="18"/>
        <v>0</v>
      </c>
      <c r="AE56" s="44"/>
      <c r="AF56" s="45" t="str">
        <f t="shared" si="19"/>
        <v>#DIV/0!</v>
      </c>
      <c r="AG56" s="45" t="str">
        <f t="shared" si="20"/>
        <v>#DIV/0!</v>
      </c>
      <c r="AH56" s="45" t="str">
        <f t="shared" si="21"/>
        <v>#DIV/0!</v>
      </c>
      <c r="AI56" s="45" t="str">
        <f t="shared" si="22"/>
        <v>#DIV/0!</v>
      </c>
      <c r="AJ56" s="45" t="str">
        <f t="shared" si="23"/>
        <v>#DIV/0!</v>
      </c>
      <c r="AK56" s="44"/>
      <c r="AL56" s="45" t="str">
        <f t="shared" si="24"/>
        <v>#DIV/0!</v>
      </c>
      <c r="AM56" s="70" t="str">
        <f t="shared" si="25"/>
        <v>#DIV/0!</v>
      </c>
      <c r="AN56" s="47" t="str">
        <f t="shared" si="26"/>
        <v>#NUM!</v>
      </c>
      <c r="AO56" s="47" t="str">
        <f t="shared" si="27"/>
        <v>#NUM!</v>
      </c>
      <c r="AP56" s="73">
        <f t="shared" si="28"/>
        <v>0.465</v>
      </c>
      <c r="AQ56" s="47" t="str">
        <f t="shared" si="29"/>
        <v>#DIV/0!</v>
      </c>
      <c r="AR56" s="47" t="str">
        <f t="shared" si="30"/>
        <v>#DIV/0!</v>
      </c>
      <c r="AS56" s="48"/>
      <c r="AT56" s="47" t="str">
        <f t="shared" si="31"/>
        <v>#DIV/0!</v>
      </c>
      <c r="AU56" s="71" t="str">
        <f t="shared" si="32"/>
        <v/>
      </c>
      <c r="AV56" s="47">
        <f t="shared" si="33"/>
        <v>-15</v>
      </c>
      <c r="AW56" s="48" t="str">
        <f t="shared" si="34"/>
        <v/>
      </c>
      <c r="AX56" s="47" t="str">
        <f t="shared" si="35"/>
        <v>#DIV/0!</v>
      </c>
      <c r="AY56" s="47">
        <f t="shared" si="36"/>
        <v>0.4375</v>
      </c>
      <c r="AZ56" s="47">
        <f t="shared" si="37"/>
        <v>0.6956521739</v>
      </c>
      <c r="BA56" s="52"/>
      <c r="BB56" s="48"/>
      <c r="BC56" s="48"/>
      <c r="BD56" s="47" t="str">
        <f t="shared" si="38"/>
        <v>#DIV/0!</v>
      </c>
      <c r="BE56" s="47" t="str">
        <f t="shared" si="39"/>
        <v>#DIV/0!</v>
      </c>
      <c r="BF56" s="48" t="str">
        <f t="shared" ref="BF56:BK56" si="460">L56</f>
        <v/>
      </c>
      <c r="BG56" s="48" t="str">
        <f t="shared" si="460"/>
        <v/>
      </c>
      <c r="BH56" s="48" t="str">
        <f t="shared" si="460"/>
        <v/>
      </c>
      <c r="BI56" s="48" t="str">
        <f t="shared" si="460"/>
        <v/>
      </c>
      <c r="BJ56" s="48" t="str">
        <f t="shared" si="460"/>
        <v/>
      </c>
      <c r="BK56" s="48" t="str">
        <f t="shared" si="460"/>
        <v/>
      </c>
      <c r="BL56" s="48" t="str">
        <f t="shared" si="41"/>
        <v/>
      </c>
      <c r="BM56" s="48">
        <f t="shared" si="42"/>
        <v>0</v>
      </c>
      <c r="BN56" s="48">
        <f t="shared" si="43"/>
        <v>0</v>
      </c>
      <c r="BO56" s="48">
        <f t="shared" si="44"/>
        <v>0</v>
      </c>
      <c r="BP56" s="47" t="str">
        <f t="shared" si="45"/>
        <v>#DIV/0!</v>
      </c>
      <c r="BQ56" s="54"/>
      <c r="BR56" s="54"/>
      <c r="BS56" s="54"/>
      <c r="BT56" s="47" t="str">
        <f t="shared" si="46"/>
        <v>#NUM!</v>
      </c>
      <c r="BU56" s="48"/>
      <c r="BV56" s="48">
        <f t="shared" si="47"/>
        <v>3</v>
      </c>
      <c r="BW56" s="48" t="str">
        <f t="shared" ref="BW56:CA56" si="461">MAX(($BU56*BW$58)+BW$59,2)</f>
        <v>#REF!</v>
      </c>
      <c r="BX56" s="48" t="str">
        <f t="shared" si="461"/>
        <v>#REF!</v>
      </c>
      <c r="BY56" s="48" t="str">
        <f t="shared" si="461"/>
        <v>#REF!</v>
      </c>
      <c r="BZ56" s="48" t="str">
        <f t="shared" si="461"/>
        <v>#REF!</v>
      </c>
      <c r="CA56" s="48" t="str">
        <f t="shared" si="461"/>
        <v>#REF!</v>
      </c>
      <c r="CB56" s="48" t="str">
        <f t="shared" si="49"/>
        <v>#REF!</v>
      </c>
      <c r="CC56" s="48" t="str">
        <f t="shared" ref="CC56:CH56" si="462">MAX(($BU56*CC$58)+CC$59,2)</f>
        <v>#REF!</v>
      </c>
      <c r="CD56" s="48" t="str">
        <f t="shared" si="462"/>
        <v>#REF!</v>
      </c>
      <c r="CE56" s="48" t="str">
        <f t="shared" si="462"/>
        <v>#REF!</v>
      </c>
      <c r="CF56" s="48" t="str">
        <f t="shared" si="462"/>
        <v>#REF!</v>
      </c>
      <c r="CG56" s="48" t="str">
        <f t="shared" si="462"/>
        <v>#REF!</v>
      </c>
      <c r="CH56" s="48" t="str">
        <f t="shared" si="462"/>
        <v>#REF!</v>
      </c>
      <c r="CI56" s="48" t="str">
        <f t="shared" si="51"/>
        <v>#REF!</v>
      </c>
      <c r="CJ56" s="48" t="str">
        <f t="shared" si="52"/>
        <v>#REF!</v>
      </c>
      <c r="CK56" s="48" t="str">
        <f t="shared" si="53"/>
        <v>#REF!</v>
      </c>
      <c r="CL56" s="48" t="str">
        <f t="shared" si="54"/>
        <v>#REF!</v>
      </c>
      <c r="CM56" s="47" t="str">
        <f t="shared" si="55"/>
        <v>#REF!</v>
      </c>
      <c r="CN56" s="47" t="str">
        <f t="shared" si="56"/>
        <v>#REF!</v>
      </c>
      <c r="CO56" s="47" t="str">
        <f t="shared" si="57"/>
        <v>#REF!</v>
      </c>
      <c r="CP56" s="47" t="str">
        <f t="shared" si="58"/>
        <v>#REF!</v>
      </c>
      <c r="CQ56" s="48"/>
      <c r="CR56" s="47" t="str">
        <f t="shared" ref="CR56:CU56" si="463">(M56-BY56)/M56</f>
        <v>#REF!</v>
      </c>
      <c r="CS56" s="47" t="str">
        <f t="shared" si="463"/>
        <v>#REF!</v>
      </c>
      <c r="CT56" s="47" t="str">
        <f t="shared" si="463"/>
        <v>#REF!</v>
      </c>
      <c r="CU56" s="47" t="str">
        <f t="shared" si="463"/>
        <v>#REF!</v>
      </c>
      <c r="CV56" s="48"/>
      <c r="CW56" s="47" t="str">
        <f t="shared" si="60"/>
        <v>#REF!</v>
      </c>
      <c r="CX56" s="47" t="str">
        <f t="shared" ref="CX56:CY56" si="464">(R56-CI56)/R56</f>
        <v>#REF!</v>
      </c>
      <c r="CY56" s="47" t="str">
        <f t="shared" si="464"/>
        <v>#REF!</v>
      </c>
      <c r="CZ56" s="47" t="str">
        <f t="shared" ref="CZ56:DA56" si="465">(T56-CD56)/T56</f>
        <v>#REF!</v>
      </c>
      <c r="DA56" s="47" t="str">
        <f t="shared" si="465"/>
        <v>#REF!</v>
      </c>
      <c r="DB56" s="48"/>
      <c r="DC56" s="47" t="str">
        <f t="shared" ref="DC56:DE56" si="466">MAX(0,CN56)*$DB56</f>
        <v>#REF!</v>
      </c>
      <c r="DD56" s="47" t="str">
        <f t="shared" si="466"/>
        <v>#REF!</v>
      </c>
      <c r="DE56" s="47" t="str">
        <f t="shared" si="466"/>
        <v>#REF!</v>
      </c>
      <c r="DF56" s="47" t="str">
        <f t="shared" ref="DF56:DI56" si="467">MAX(0,CR56)*$DB56</f>
        <v>#REF!</v>
      </c>
      <c r="DG56" s="47" t="str">
        <f t="shared" si="467"/>
        <v>#REF!</v>
      </c>
      <c r="DH56" s="47" t="str">
        <f t="shared" si="467"/>
        <v>#REF!</v>
      </c>
      <c r="DI56" s="47" t="str">
        <f t="shared" si="467"/>
        <v>#REF!</v>
      </c>
      <c r="DJ56" s="47" t="str">
        <f t="shared" ref="DJ56:DN56" si="468">MAX(0,CW56)*$DB56</f>
        <v>#REF!</v>
      </c>
      <c r="DK56" s="47" t="str">
        <f t="shared" si="468"/>
        <v>#REF!</v>
      </c>
      <c r="DL56" s="47" t="str">
        <f t="shared" si="468"/>
        <v>#REF!</v>
      </c>
      <c r="DM56" s="47" t="str">
        <f t="shared" si="468"/>
        <v>#REF!</v>
      </c>
      <c r="DN56" s="47" t="str">
        <f t="shared" si="468"/>
        <v>#REF!</v>
      </c>
      <c r="DO56" s="45"/>
      <c r="DP56" s="45"/>
      <c r="DQ56" s="45"/>
      <c r="DR56" s="45"/>
      <c r="DS56" s="45"/>
      <c r="DT56" s="45"/>
      <c r="DU56" s="45"/>
      <c r="DV56" s="66">
        <f t="shared" si="66"/>
        <v>0</v>
      </c>
      <c r="DW56" s="56"/>
      <c r="DX56" s="67"/>
    </row>
    <row r="57" ht="14.25" customHeight="1">
      <c r="A57" s="34" t="s">
        <v>33</v>
      </c>
      <c r="B57" s="68"/>
      <c r="C57" s="59" t="str">
        <f t="shared" si="211"/>
        <v/>
      </c>
      <c r="D57" s="59" t="str">
        <f t="shared" si="212"/>
        <v/>
      </c>
      <c r="E57" s="60" t="str">
        <f t="shared" si="213"/>
        <v/>
      </c>
      <c r="F57" s="72">
        <f t="shared" si="279"/>
        <v>0</v>
      </c>
      <c r="G57" s="59" t="str">
        <f t="shared" si="214"/>
        <v/>
      </c>
      <c r="H57" s="59" t="str">
        <f t="shared" si="215"/>
        <v/>
      </c>
      <c r="I57" s="62"/>
      <c r="J57" s="43"/>
      <c r="K57" s="43"/>
      <c r="L57" s="43"/>
      <c r="M57" s="43"/>
      <c r="N57" s="43"/>
      <c r="O57" s="43"/>
      <c r="P57" s="63"/>
      <c r="Q57" s="63"/>
      <c r="R57" s="43"/>
      <c r="S57" s="43"/>
      <c r="T57" s="43"/>
      <c r="U57" s="43"/>
      <c r="V57" s="43">
        <f t="shared" si="10"/>
        <v>0</v>
      </c>
      <c r="W57" s="45" t="str">
        <f t="shared" si="11"/>
        <v>#DIV/0!</v>
      </c>
      <c r="X57" s="45" t="str">
        <f t="shared" si="12"/>
        <v>#DIV/0!</v>
      </c>
      <c r="Y57" s="43">
        <f t="shared" si="13"/>
        <v>0</v>
      </c>
      <c r="Z57" s="43">
        <f t="shared" si="14"/>
        <v>0</v>
      </c>
      <c r="AA57" s="43">
        <f t="shared" si="15"/>
        <v>0</v>
      </c>
      <c r="AB57" s="43">
        <f t="shared" si="16"/>
        <v>0</v>
      </c>
      <c r="AC57" s="43">
        <f t="shared" si="17"/>
        <v>0</v>
      </c>
      <c r="AD57" s="43">
        <f t="shared" si="18"/>
        <v>0</v>
      </c>
      <c r="AE57" s="44"/>
      <c r="AF57" s="45" t="str">
        <f t="shared" si="19"/>
        <v>#DIV/0!</v>
      </c>
      <c r="AG57" s="45" t="str">
        <f t="shared" si="20"/>
        <v>#DIV/0!</v>
      </c>
      <c r="AH57" s="45" t="str">
        <f t="shared" si="21"/>
        <v>#DIV/0!</v>
      </c>
      <c r="AI57" s="45" t="str">
        <f t="shared" si="22"/>
        <v>#DIV/0!</v>
      </c>
      <c r="AJ57" s="45" t="str">
        <f t="shared" si="23"/>
        <v>#DIV/0!</v>
      </c>
      <c r="AK57" s="44"/>
      <c r="AL57" s="45" t="str">
        <f t="shared" si="24"/>
        <v>#DIV/0!</v>
      </c>
      <c r="AM57" s="70" t="str">
        <f t="shared" si="25"/>
        <v>#DIV/0!</v>
      </c>
      <c r="AN57" s="47" t="str">
        <f t="shared" si="26"/>
        <v>#NUM!</v>
      </c>
      <c r="AO57" s="47" t="str">
        <f t="shared" si="27"/>
        <v>#NUM!</v>
      </c>
      <c r="AP57" s="73">
        <f t="shared" si="28"/>
        <v>0.465</v>
      </c>
      <c r="AQ57" s="47" t="str">
        <f t="shared" si="29"/>
        <v>#DIV/0!</v>
      </c>
      <c r="AR57" s="47" t="str">
        <f t="shared" si="30"/>
        <v>#DIV/0!</v>
      </c>
      <c r="AS57" s="48"/>
      <c r="AT57" s="47" t="str">
        <f t="shared" si="31"/>
        <v>#DIV/0!</v>
      </c>
      <c r="AU57" s="71" t="str">
        <f t="shared" si="32"/>
        <v/>
      </c>
      <c r="AV57" s="47">
        <f t="shared" si="33"/>
        <v>-15</v>
      </c>
      <c r="AW57" s="48" t="str">
        <f t="shared" si="34"/>
        <v/>
      </c>
      <c r="AX57" s="47" t="str">
        <f t="shared" si="35"/>
        <v>#DIV/0!</v>
      </c>
      <c r="AY57" s="47">
        <f t="shared" si="36"/>
        <v>0.4375</v>
      </c>
      <c r="AZ57" s="47">
        <f t="shared" si="37"/>
        <v>0.6956521739</v>
      </c>
      <c r="BA57" s="52"/>
      <c r="BB57" s="48"/>
      <c r="BC57" s="48"/>
      <c r="BD57" s="47" t="str">
        <f t="shared" si="38"/>
        <v>#DIV/0!</v>
      </c>
      <c r="BE57" s="47" t="str">
        <f t="shared" si="39"/>
        <v>#DIV/0!</v>
      </c>
      <c r="BF57" s="48" t="str">
        <f t="shared" ref="BF57:BK57" si="469">L57</f>
        <v/>
      </c>
      <c r="BG57" s="48" t="str">
        <f t="shared" si="469"/>
        <v/>
      </c>
      <c r="BH57" s="48" t="str">
        <f t="shared" si="469"/>
        <v/>
      </c>
      <c r="BI57" s="48" t="str">
        <f t="shared" si="469"/>
        <v/>
      </c>
      <c r="BJ57" s="48" t="str">
        <f t="shared" si="469"/>
        <v/>
      </c>
      <c r="BK57" s="48" t="str">
        <f t="shared" si="469"/>
        <v/>
      </c>
      <c r="BL57" s="48" t="str">
        <f t="shared" si="41"/>
        <v/>
      </c>
      <c r="BM57" s="48">
        <f t="shared" si="42"/>
        <v>0</v>
      </c>
      <c r="BN57" s="48">
        <f t="shared" si="43"/>
        <v>0</v>
      </c>
      <c r="BO57" s="48">
        <f t="shared" si="44"/>
        <v>0</v>
      </c>
      <c r="BP57" s="47" t="str">
        <f t="shared" si="45"/>
        <v>#DIV/0!</v>
      </c>
      <c r="BQ57" s="54"/>
      <c r="BR57" s="54"/>
      <c r="BS57" s="54"/>
      <c r="BT57" s="47" t="str">
        <f t="shared" si="46"/>
        <v>#NUM!</v>
      </c>
      <c r="BU57" s="48"/>
      <c r="BV57" s="48">
        <f t="shared" si="47"/>
        <v>3</v>
      </c>
      <c r="BW57" s="48" t="str">
        <f t="shared" ref="BW57:CA57" si="470">MAX(($BU57*BW$58)+BW$59,2)</f>
        <v>#REF!</v>
      </c>
      <c r="BX57" s="48" t="str">
        <f t="shared" si="470"/>
        <v>#REF!</v>
      </c>
      <c r="BY57" s="48" t="str">
        <f t="shared" si="470"/>
        <v>#REF!</v>
      </c>
      <c r="BZ57" s="48" t="str">
        <f t="shared" si="470"/>
        <v>#REF!</v>
      </c>
      <c r="CA57" s="48" t="str">
        <f t="shared" si="470"/>
        <v>#REF!</v>
      </c>
      <c r="CB57" s="48" t="str">
        <f t="shared" si="49"/>
        <v>#REF!</v>
      </c>
      <c r="CC57" s="48" t="str">
        <f t="shared" ref="CC57:CH57" si="471">MAX(($BU57*CC$58)+CC$59,2)</f>
        <v>#REF!</v>
      </c>
      <c r="CD57" s="48" t="str">
        <f t="shared" si="471"/>
        <v>#REF!</v>
      </c>
      <c r="CE57" s="48" t="str">
        <f t="shared" si="471"/>
        <v>#REF!</v>
      </c>
      <c r="CF57" s="48" t="str">
        <f t="shared" si="471"/>
        <v>#REF!</v>
      </c>
      <c r="CG57" s="48" t="str">
        <f t="shared" si="471"/>
        <v>#REF!</v>
      </c>
      <c r="CH57" s="48" t="str">
        <f t="shared" si="471"/>
        <v>#REF!</v>
      </c>
      <c r="CI57" s="48" t="str">
        <f t="shared" si="51"/>
        <v>#REF!</v>
      </c>
      <c r="CJ57" s="48" t="str">
        <f t="shared" si="52"/>
        <v>#REF!</v>
      </c>
      <c r="CK57" s="48" t="str">
        <f t="shared" si="53"/>
        <v>#REF!</v>
      </c>
      <c r="CL57" s="48" t="str">
        <f t="shared" si="54"/>
        <v>#REF!</v>
      </c>
      <c r="CM57" s="47" t="str">
        <f t="shared" si="55"/>
        <v>#REF!</v>
      </c>
      <c r="CN57" s="47" t="str">
        <f t="shared" si="56"/>
        <v>#REF!</v>
      </c>
      <c r="CO57" s="47" t="str">
        <f t="shared" si="57"/>
        <v>#REF!</v>
      </c>
      <c r="CP57" s="47" t="str">
        <f t="shared" si="58"/>
        <v>#REF!</v>
      </c>
      <c r="CQ57" s="48"/>
      <c r="CR57" s="47" t="str">
        <f t="shared" ref="CR57:CU57" si="472">(M57-BY57)/M57</f>
        <v>#REF!</v>
      </c>
      <c r="CS57" s="47" t="str">
        <f t="shared" si="472"/>
        <v>#REF!</v>
      </c>
      <c r="CT57" s="47" t="str">
        <f t="shared" si="472"/>
        <v>#REF!</v>
      </c>
      <c r="CU57" s="47" t="str">
        <f t="shared" si="472"/>
        <v>#REF!</v>
      </c>
      <c r="CV57" s="48"/>
      <c r="CW57" s="47" t="str">
        <f t="shared" si="60"/>
        <v>#REF!</v>
      </c>
      <c r="CX57" s="47" t="str">
        <f t="shared" ref="CX57:CY57" si="473">(R57-CI57)/R57</f>
        <v>#REF!</v>
      </c>
      <c r="CY57" s="47" t="str">
        <f t="shared" si="473"/>
        <v>#REF!</v>
      </c>
      <c r="CZ57" s="47" t="str">
        <f t="shared" ref="CZ57:DA57" si="474">(T57-CD57)/T57</f>
        <v>#REF!</v>
      </c>
      <c r="DA57" s="47" t="str">
        <f t="shared" si="474"/>
        <v>#REF!</v>
      </c>
      <c r="DB57" s="48"/>
      <c r="DC57" s="47" t="str">
        <f t="shared" ref="DC57:DE57" si="475">MAX(0,CN57)*$DB57</f>
        <v>#REF!</v>
      </c>
      <c r="DD57" s="47" t="str">
        <f t="shared" si="475"/>
        <v>#REF!</v>
      </c>
      <c r="DE57" s="47" t="str">
        <f t="shared" si="475"/>
        <v>#REF!</v>
      </c>
      <c r="DF57" s="47" t="str">
        <f t="shared" ref="DF57:DI57" si="476">MAX(0,CR57)*$DB57</f>
        <v>#REF!</v>
      </c>
      <c r="DG57" s="47" t="str">
        <f t="shared" si="476"/>
        <v>#REF!</v>
      </c>
      <c r="DH57" s="47" t="str">
        <f t="shared" si="476"/>
        <v>#REF!</v>
      </c>
      <c r="DI57" s="47" t="str">
        <f t="shared" si="476"/>
        <v>#REF!</v>
      </c>
      <c r="DJ57" s="47" t="str">
        <f t="shared" ref="DJ57:DN57" si="477">MAX(0,CW57)*$DB57</f>
        <v>#REF!</v>
      </c>
      <c r="DK57" s="47" t="str">
        <f t="shared" si="477"/>
        <v>#REF!</v>
      </c>
      <c r="DL57" s="47" t="str">
        <f t="shared" si="477"/>
        <v>#REF!</v>
      </c>
      <c r="DM57" s="47" t="str">
        <f t="shared" si="477"/>
        <v>#REF!</v>
      </c>
      <c r="DN57" s="47" t="str">
        <f t="shared" si="477"/>
        <v>#REF!</v>
      </c>
      <c r="DO57" s="45"/>
      <c r="DP57" s="45"/>
      <c r="DQ57" s="45"/>
      <c r="DR57" s="45"/>
      <c r="DS57" s="45"/>
      <c r="DT57" s="45"/>
      <c r="DU57" s="45"/>
      <c r="DV57" s="55">
        <f t="shared" si="66"/>
        <v>0</v>
      </c>
      <c r="DW57" s="56"/>
      <c r="DX57" s="67"/>
    </row>
    <row r="58" ht="18.75" customHeight="1">
      <c r="A58" s="76"/>
      <c r="B58" s="68"/>
      <c r="C58" s="59" t="str">
        <f t="shared" si="211"/>
        <v/>
      </c>
      <c r="D58" s="59" t="str">
        <f t="shared" si="212"/>
        <v/>
      </c>
      <c r="E58" s="60" t="str">
        <f t="shared" si="213"/>
        <v/>
      </c>
      <c r="F58" s="72">
        <f t="shared" si="279"/>
        <v>0</v>
      </c>
      <c r="G58" s="59" t="str">
        <f t="shared" si="214"/>
        <v/>
      </c>
      <c r="H58" s="59" t="str">
        <f t="shared" si="215"/>
        <v/>
      </c>
      <c r="I58" s="62"/>
      <c r="J58" s="43"/>
      <c r="K58" s="43"/>
      <c r="L58" s="43"/>
      <c r="M58" s="43"/>
      <c r="N58" s="43"/>
      <c r="O58" s="43"/>
      <c r="P58" s="63"/>
      <c r="Q58" s="63"/>
      <c r="R58" s="43"/>
      <c r="S58" s="43"/>
      <c r="T58" s="43"/>
      <c r="U58" s="43"/>
      <c r="V58" s="43">
        <f t="shared" si="10"/>
        <v>0</v>
      </c>
      <c r="W58" s="45" t="str">
        <f t="shared" si="11"/>
        <v>#DIV/0!</v>
      </c>
      <c r="X58" s="45" t="str">
        <f t="shared" si="12"/>
        <v>#DIV/0!</v>
      </c>
      <c r="Y58" s="43">
        <f t="shared" si="13"/>
        <v>0</v>
      </c>
      <c r="Z58" s="43">
        <f t="shared" si="14"/>
        <v>0</v>
      </c>
      <c r="AA58" s="43">
        <f t="shared" si="15"/>
        <v>0</v>
      </c>
      <c r="AB58" s="43">
        <f t="shared" si="16"/>
        <v>0</v>
      </c>
      <c r="AC58" s="43">
        <f t="shared" si="17"/>
        <v>0</v>
      </c>
      <c r="AD58" s="43">
        <f t="shared" si="18"/>
        <v>0</v>
      </c>
      <c r="AE58" s="44"/>
      <c r="AF58" s="45" t="str">
        <f t="shared" si="19"/>
        <v>#DIV/0!</v>
      </c>
      <c r="AG58" s="45" t="str">
        <f t="shared" si="20"/>
        <v>#DIV/0!</v>
      </c>
      <c r="AH58" s="45" t="str">
        <f t="shared" si="21"/>
        <v>#DIV/0!</v>
      </c>
      <c r="AI58" s="45" t="str">
        <f t="shared" si="22"/>
        <v>#DIV/0!</v>
      </c>
      <c r="AJ58" s="45" t="str">
        <f t="shared" si="23"/>
        <v>#DIV/0!</v>
      </c>
      <c r="AK58" s="44"/>
      <c r="AL58" s="45" t="str">
        <f t="shared" si="24"/>
        <v>#DIV/0!</v>
      </c>
      <c r="AM58" s="70" t="str">
        <f t="shared" si="25"/>
        <v>#DIV/0!</v>
      </c>
      <c r="AN58" s="47" t="str">
        <f t="shared" si="26"/>
        <v>#NUM!</v>
      </c>
      <c r="AO58" s="47" t="str">
        <f t="shared" si="27"/>
        <v>#NUM!</v>
      </c>
      <c r="AP58" s="73">
        <f t="shared" si="28"/>
        <v>0.465</v>
      </c>
      <c r="AQ58" s="47" t="str">
        <f t="shared" si="29"/>
        <v>#DIV/0!</v>
      </c>
      <c r="AR58" s="47" t="str">
        <f t="shared" si="30"/>
        <v>#DIV/0!</v>
      </c>
      <c r="AS58" s="48"/>
      <c r="AT58" s="47" t="str">
        <f t="shared" si="31"/>
        <v>#DIV/0!</v>
      </c>
      <c r="AU58" s="71" t="str">
        <f t="shared" si="32"/>
        <v/>
      </c>
      <c r="AV58" s="47">
        <f t="shared" si="33"/>
        <v>-15</v>
      </c>
      <c r="AW58" s="48" t="str">
        <f t="shared" si="34"/>
        <v/>
      </c>
      <c r="AX58" s="47" t="str">
        <f t="shared" si="35"/>
        <v>#DIV/0!</v>
      </c>
      <c r="AY58" s="47">
        <f t="shared" si="36"/>
        <v>0.4375</v>
      </c>
      <c r="AZ58" s="47">
        <f t="shared" si="37"/>
        <v>0.6956521739</v>
      </c>
      <c r="BA58" s="52"/>
      <c r="BB58" s="48"/>
      <c r="BC58" s="48"/>
      <c r="BD58" s="47" t="str">
        <f t="shared" si="38"/>
        <v>#DIV/0!</v>
      </c>
      <c r="BE58" s="47" t="str">
        <f t="shared" si="39"/>
        <v>#DIV/0!</v>
      </c>
      <c r="BF58" s="48" t="str">
        <f t="shared" ref="BF58:BK58" si="478">L58</f>
        <v/>
      </c>
      <c r="BG58" s="48" t="str">
        <f t="shared" si="478"/>
        <v/>
      </c>
      <c r="BH58" s="48" t="str">
        <f t="shared" si="478"/>
        <v/>
      </c>
      <c r="BI58" s="48" t="str">
        <f t="shared" si="478"/>
        <v/>
      </c>
      <c r="BJ58" s="48" t="str">
        <f t="shared" si="478"/>
        <v/>
      </c>
      <c r="BK58" s="48" t="str">
        <f t="shared" si="478"/>
        <v/>
      </c>
      <c r="BL58" s="48" t="str">
        <f t="shared" si="41"/>
        <v/>
      </c>
      <c r="BM58" s="48">
        <f t="shared" si="42"/>
        <v>0</v>
      </c>
      <c r="BN58" s="48">
        <f t="shared" si="43"/>
        <v>0</v>
      </c>
      <c r="BO58" s="48">
        <f t="shared" si="44"/>
        <v>0</v>
      </c>
      <c r="BP58" s="47" t="str">
        <f t="shared" si="45"/>
        <v>#DIV/0!</v>
      </c>
      <c r="BQ58" s="54"/>
      <c r="BR58" s="54"/>
      <c r="BS58" s="54"/>
      <c r="BT58" s="47" t="str">
        <f t="shared" si="46"/>
        <v>#NUM!</v>
      </c>
      <c r="BU58" s="48"/>
      <c r="BV58" s="48">
        <f t="shared" si="47"/>
        <v>3</v>
      </c>
      <c r="BW58" s="48" t="str">
        <f t="shared" ref="BW58:CA58" si="479">MAX(($BU58*BW$58)+BW$59,2)</f>
        <v>#REF!</v>
      </c>
      <c r="BX58" s="48" t="str">
        <f t="shared" si="479"/>
        <v>#REF!</v>
      </c>
      <c r="BY58" s="48" t="str">
        <f t="shared" si="479"/>
        <v>#REF!</v>
      </c>
      <c r="BZ58" s="48" t="str">
        <f t="shared" si="479"/>
        <v>#REF!</v>
      </c>
      <c r="CA58" s="48" t="str">
        <f t="shared" si="479"/>
        <v>#REF!</v>
      </c>
      <c r="CB58" s="48" t="str">
        <f t="shared" si="49"/>
        <v>#REF!</v>
      </c>
      <c r="CC58" s="48" t="str">
        <f t="shared" ref="CC58:CH58" si="480">MAX(($BU58*CC$58)+CC$59,2)</f>
        <v>#REF!</v>
      </c>
      <c r="CD58" s="48" t="str">
        <f t="shared" si="480"/>
        <v>#REF!</v>
      </c>
      <c r="CE58" s="48" t="str">
        <f t="shared" si="480"/>
        <v>#REF!</v>
      </c>
      <c r="CF58" s="48" t="str">
        <f t="shared" si="480"/>
        <v>#REF!</v>
      </c>
      <c r="CG58" s="48" t="str">
        <f t="shared" si="480"/>
        <v>#REF!</v>
      </c>
      <c r="CH58" s="48" t="str">
        <f t="shared" si="480"/>
        <v>#REF!</v>
      </c>
      <c r="CI58" s="48" t="str">
        <f t="shared" si="51"/>
        <v>#REF!</v>
      </c>
      <c r="CJ58" s="48" t="str">
        <f t="shared" si="52"/>
        <v>#REF!</v>
      </c>
      <c r="CK58" s="48" t="str">
        <f t="shared" si="53"/>
        <v>#REF!</v>
      </c>
      <c r="CL58" s="48" t="str">
        <f t="shared" si="54"/>
        <v>#REF!</v>
      </c>
      <c r="CM58" s="47" t="str">
        <f t="shared" si="55"/>
        <v>#REF!</v>
      </c>
      <c r="CN58" s="47" t="str">
        <f t="shared" si="56"/>
        <v>#REF!</v>
      </c>
      <c r="CO58" s="47" t="str">
        <f t="shared" si="57"/>
        <v>#REF!</v>
      </c>
      <c r="CP58" s="47" t="str">
        <f t="shared" si="58"/>
        <v>#REF!</v>
      </c>
      <c r="CQ58" s="48"/>
      <c r="CR58" s="47" t="str">
        <f t="shared" ref="CR58:CU58" si="481">(M58-BY58)/M58</f>
        <v>#REF!</v>
      </c>
      <c r="CS58" s="47" t="str">
        <f t="shared" si="481"/>
        <v>#REF!</v>
      </c>
      <c r="CT58" s="47" t="str">
        <f t="shared" si="481"/>
        <v>#REF!</v>
      </c>
      <c r="CU58" s="47" t="str">
        <f t="shared" si="481"/>
        <v>#REF!</v>
      </c>
      <c r="CV58" s="48"/>
      <c r="CW58" s="47" t="str">
        <f t="shared" si="60"/>
        <v>#REF!</v>
      </c>
      <c r="CX58" s="47" t="str">
        <f t="shared" ref="CX58:CY58" si="482">(R58-CI58)/R58</f>
        <v>#REF!</v>
      </c>
      <c r="CY58" s="47" t="str">
        <f t="shared" si="482"/>
        <v>#REF!</v>
      </c>
      <c r="CZ58" s="47" t="str">
        <f t="shared" ref="CZ58:DA58" si="483">(T58-CD58)/T58</f>
        <v>#REF!</v>
      </c>
      <c r="DA58" s="47" t="str">
        <f t="shared" si="483"/>
        <v>#REF!</v>
      </c>
      <c r="DB58" s="48"/>
      <c r="DC58" s="47" t="str">
        <f t="shared" ref="DC58:DE58" si="484">MAX(0,CN58)*$DB58</f>
        <v>#REF!</v>
      </c>
      <c r="DD58" s="47" t="str">
        <f t="shared" si="484"/>
        <v>#REF!</v>
      </c>
      <c r="DE58" s="47" t="str">
        <f t="shared" si="484"/>
        <v>#REF!</v>
      </c>
      <c r="DF58" s="47" t="str">
        <f t="shared" ref="DF58:DI58" si="485">MAX(0,CR58)*$DB58</f>
        <v>#REF!</v>
      </c>
      <c r="DG58" s="47" t="str">
        <f t="shared" si="485"/>
        <v>#REF!</v>
      </c>
      <c r="DH58" s="47" t="str">
        <f t="shared" si="485"/>
        <v>#REF!</v>
      </c>
      <c r="DI58" s="47" t="str">
        <f t="shared" si="485"/>
        <v>#REF!</v>
      </c>
      <c r="DJ58" s="47" t="str">
        <f t="shared" ref="DJ58:DN58" si="486">MAX(0,CW58)*$DB58</f>
        <v>#REF!</v>
      </c>
      <c r="DK58" s="47" t="str">
        <f t="shared" si="486"/>
        <v>#REF!</v>
      </c>
      <c r="DL58" s="47" t="str">
        <f t="shared" si="486"/>
        <v>#REF!</v>
      </c>
      <c r="DM58" s="47" t="str">
        <f t="shared" si="486"/>
        <v>#REF!</v>
      </c>
      <c r="DN58" s="47" t="str">
        <f t="shared" si="486"/>
        <v>#REF!</v>
      </c>
      <c r="DO58" s="45"/>
      <c r="DP58" s="45"/>
      <c r="DQ58" s="45"/>
      <c r="DR58" s="45"/>
      <c r="DS58" s="45"/>
      <c r="DT58" s="45"/>
      <c r="DU58" s="45"/>
      <c r="DV58" s="66">
        <f t="shared" si="66"/>
        <v>0</v>
      </c>
      <c r="DW58" s="56"/>
      <c r="DX58" s="67"/>
    </row>
    <row r="59" ht="18.75" customHeight="1">
      <c r="A59" s="76"/>
      <c r="B59" s="77"/>
      <c r="C59" s="78" t="str">
        <f t="shared" si="211"/>
        <v/>
      </c>
      <c r="D59" s="78" t="str">
        <f t="shared" si="212"/>
        <v/>
      </c>
      <c r="E59" s="78" t="str">
        <f t="shared" si="213"/>
        <v/>
      </c>
      <c r="F59" s="79">
        <f t="shared" si="279"/>
        <v>0</v>
      </c>
      <c r="G59" s="78" t="str">
        <f t="shared" si="214"/>
        <v/>
      </c>
      <c r="H59" s="78" t="str">
        <f t="shared" si="215"/>
        <v/>
      </c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>
        <f t="shared" si="10"/>
        <v>0</v>
      </c>
      <c r="W59" s="81" t="str">
        <f t="shared" si="11"/>
        <v>#DIV/0!</v>
      </c>
      <c r="X59" s="82" t="str">
        <f t="shared" si="12"/>
        <v>#DIV/0!</v>
      </c>
      <c r="Y59" s="80">
        <f t="shared" si="13"/>
        <v>0</v>
      </c>
      <c r="Z59" s="80">
        <f t="shared" si="14"/>
        <v>0</v>
      </c>
      <c r="AA59" s="80">
        <f t="shared" si="15"/>
        <v>0</v>
      </c>
      <c r="AB59" s="80">
        <f t="shared" si="16"/>
        <v>0</v>
      </c>
      <c r="AC59" s="80">
        <f t="shared" si="17"/>
        <v>0</v>
      </c>
      <c r="AD59" s="80">
        <f t="shared" si="18"/>
        <v>0</v>
      </c>
      <c r="AE59" s="83"/>
      <c r="AF59" s="81" t="str">
        <f t="shared" si="19"/>
        <v>#DIV/0!</v>
      </c>
      <c r="AG59" s="81" t="str">
        <f t="shared" si="20"/>
        <v>#DIV/0!</v>
      </c>
      <c r="AH59" s="81" t="str">
        <f t="shared" si="21"/>
        <v>#DIV/0!</v>
      </c>
      <c r="AI59" s="81" t="str">
        <f t="shared" si="22"/>
        <v>#DIV/0!</v>
      </c>
      <c r="AJ59" s="81" t="str">
        <f t="shared" si="23"/>
        <v>#DIV/0!</v>
      </c>
      <c r="AK59" s="83"/>
      <c r="AL59" s="81" t="str">
        <f t="shared" si="24"/>
        <v>#DIV/0!</v>
      </c>
      <c r="AM59" s="84" t="str">
        <f t="shared" si="25"/>
        <v>#DIV/0!</v>
      </c>
      <c r="AN59" s="85" t="str">
        <f t="shared" si="26"/>
        <v>#NUM!</v>
      </c>
      <c r="AO59" s="85" t="str">
        <f t="shared" si="27"/>
        <v>#NUM!</v>
      </c>
      <c r="AP59" s="86">
        <f t="shared" si="28"/>
        <v>0.465</v>
      </c>
      <c r="AQ59" s="85" t="str">
        <f t="shared" si="29"/>
        <v>#DIV/0!</v>
      </c>
      <c r="AR59" s="87" t="str">
        <f t="shared" si="30"/>
        <v>#DIV/0!</v>
      </c>
      <c r="AS59" s="88"/>
      <c r="AT59" s="89" t="str">
        <f t="shared" si="31"/>
        <v>#DIV/0!</v>
      </c>
      <c r="AU59" s="90" t="str">
        <f t="shared" si="32"/>
        <v/>
      </c>
      <c r="AV59" s="89">
        <f t="shared" si="33"/>
        <v>-15</v>
      </c>
      <c r="AW59" s="88" t="str">
        <f t="shared" si="34"/>
        <v/>
      </c>
      <c r="AX59" s="89" t="str">
        <f t="shared" si="35"/>
        <v>#DIV/0!</v>
      </c>
      <c r="AY59" s="89">
        <f t="shared" si="36"/>
        <v>0.4375</v>
      </c>
      <c r="AZ59" s="89">
        <f t="shared" si="37"/>
        <v>0.6956521739</v>
      </c>
      <c r="BA59" s="88"/>
      <c r="BB59" s="88"/>
      <c r="BC59" s="88"/>
      <c r="BD59" s="89" t="str">
        <f t="shared" si="38"/>
        <v>#DIV/0!</v>
      </c>
      <c r="BE59" s="89" t="str">
        <f t="shared" si="39"/>
        <v>#DIV/0!</v>
      </c>
      <c r="BF59" s="88" t="str">
        <f t="shared" ref="BF59:BK59" si="487">L59</f>
        <v/>
      </c>
      <c r="BG59" s="88" t="str">
        <f t="shared" si="487"/>
        <v/>
      </c>
      <c r="BH59" s="88" t="str">
        <f t="shared" si="487"/>
        <v/>
      </c>
      <c r="BI59" s="88" t="str">
        <f t="shared" si="487"/>
        <v/>
      </c>
      <c r="BJ59" s="88" t="str">
        <f t="shared" si="487"/>
        <v/>
      </c>
      <c r="BK59" s="88" t="str">
        <f t="shared" si="487"/>
        <v/>
      </c>
      <c r="BL59" s="88" t="str">
        <f t="shared" si="41"/>
        <v/>
      </c>
      <c r="BM59" s="88">
        <f t="shared" si="42"/>
        <v>0</v>
      </c>
      <c r="BN59" s="88">
        <f t="shared" si="43"/>
        <v>0</v>
      </c>
      <c r="BO59" s="88">
        <f t="shared" si="44"/>
        <v>0</v>
      </c>
      <c r="BP59" s="87" t="str">
        <f t="shared" si="45"/>
        <v>#DIV/0!</v>
      </c>
      <c r="BQ59" s="91"/>
      <c r="BR59" s="91"/>
      <c r="BS59" s="91"/>
      <c r="BT59" s="89" t="str">
        <f t="shared" si="46"/>
        <v>#NUM!</v>
      </c>
      <c r="BU59" s="88"/>
      <c r="BV59" s="88">
        <f t="shared" si="47"/>
        <v>3</v>
      </c>
      <c r="BW59" s="88" t="str">
        <f t="shared" ref="BW59:CA59" si="488">MAX(($BU59*BW$58)+BW$59,2)</f>
        <v>#REF!</v>
      </c>
      <c r="BX59" s="88" t="str">
        <f t="shared" si="488"/>
        <v>#REF!</v>
      </c>
      <c r="BY59" s="88" t="str">
        <f t="shared" si="488"/>
        <v>#REF!</v>
      </c>
      <c r="BZ59" s="88" t="str">
        <f t="shared" si="488"/>
        <v>#REF!</v>
      </c>
      <c r="CA59" s="88" t="str">
        <f t="shared" si="488"/>
        <v>#REF!</v>
      </c>
      <c r="CB59" s="88" t="str">
        <f t="shared" si="49"/>
        <v>#REF!</v>
      </c>
      <c r="CC59" s="88" t="str">
        <f t="shared" ref="CC59:CH59" si="489">MAX(($BU59*CC$58)+CC$59,2)</f>
        <v>#REF!</v>
      </c>
      <c r="CD59" s="88" t="str">
        <f t="shared" si="489"/>
        <v>#REF!</v>
      </c>
      <c r="CE59" s="88" t="str">
        <f t="shared" si="489"/>
        <v>#REF!</v>
      </c>
      <c r="CF59" s="88" t="str">
        <f t="shared" si="489"/>
        <v>#REF!</v>
      </c>
      <c r="CG59" s="88" t="str">
        <f t="shared" si="489"/>
        <v>#REF!</v>
      </c>
      <c r="CH59" s="88" t="str">
        <f t="shared" si="489"/>
        <v>#REF!</v>
      </c>
      <c r="CI59" s="88" t="str">
        <f t="shared" si="51"/>
        <v>#REF!</v>
      </c>
      <c r="CJ59" s="88" t="str">
        <f t="shared" si="52"/>
        <v>#REF!</v>
      </c>
      <c r="CK59" s="88" t="str">
        <f t="shared" si="53"/>
        <v>#REF!</v>
      </c>
      <c r="CL59" s="88" t="str">
        <f t="shared" si="54"/>
        <v>#REF!</v>
      </c>
      <c r="CM59" s="87" t="str">
        <f t="shared" si="55"/>
        <v>#REF!</v>
      </c>
      <c r="CN59" s="89" t="str">
        <f t="shared" si="56"/>
        <v>#REF!</v>
      </c>
      <c r="CO59" s="89" t="str">
        <f t="shared" si="57"/>
        <v>#REF!</v>
      </c>
      <c r="CP59" s="89" t="str">
        <f t="shared" si="58"/>
        <v>#REF!</v>
      </c>
      <c r="CQ59" s="88"/>
      <c r="CR59" s="89" t="str">
        <f t="shared" ref="CR59:CU59" si="490">(M59-BY59)/M59</f>
        <v>#REF!</v>
      </c>
      <c r="CS59" s="89" t="str">
        <f t="shared" si="490"/>
        <v>#REF!</v>
      </c>
      <c r="CT59" s="89" t="str">
        <f t="shared" si="490"/>
        <v>#REF!</v>
      </c>
      <c r="CU59" s="89" t="str">
        <f t="shared" si="490"/>
        <v>#REF!</v>
      </c>
      <c r="CV59" s="88"/>
      <c r="CW59" s="89" t="str">
        <f t="shared" si="60"/>
        <v>#REF!</v>
      </c>
      <c r="CX59" s="89" t="str">
        <f t="shared" ref="CX59:CY59" si="491">(R59-CI59)/R59</f>
        <v>#REF!</v>
      </c>
      <c r="CY59" s="89" t="str">
        <f t="shared" si="491"/>
        <v>#REF!</v>
      </c>
      <c r="CZ59" s="89" t="str">
        <f t="shared" ref="CZ59:DA59" si="492">(T59-CD59)/T59</f>
        <v>#REF!</v>
      </c>
      <c r="DA59" s="89" t="str">
        <f t="shared" si="492"/>
        <v>#REF!</v>
      </c>
      <c r="DB59" s="88"/>
      <c r="DC59" s="89" t="str">
        <f t="shared" ref="DC59:DE59" si="493">MAX(0,CN59)*$DB59</f>
        <v>#REF!</v>
      </c>
      <c r="DD59" s="89" t="str">
        <f t="shared" si="493"/>
        <v>#REF!</v>
      </c>
      <c r="DE59" s="89" t="str">
        <f t="shared" si="493"/>
        <v>#REF!</v>
      </c>
      <c r="DF59" s="89" t="str">
        <f t="shared" ref="DF59:DI59" si="494">MAX(0,CR59)*$DB59</f>
        <v>#REF!</v>
      </c>
      <c r="DG59" s="89" t="str">
        <f t="shared" si="494"/>
        <v>#REF!</v>
      </c>
      <c r="DH59" s="89" t="str">
        <f t="shared" si="494"/>
        <v>#REF!</v>
      </c>
      <c r="DI59" s="89" t="str">
        <f t="shared" si="494"/>
        <v>#REF!</v>
      </c>
      <c r="DJ59" s="89" t="str">
        <f t="shared" ref="DJ59:DN59" si="495">MAX(0,CW59)*$DB59</f>
        <v>#REF!</v>
      </c>
      <c r="DK59" s="89" t="str">
        <f t="shared" si="495"/>
        <v>#REF!</v>
      </c>
      <c r="DL59" s="89" t="str">
        <f t="shared" si="495"/>
        <v>#REF!</v>
      </c>
      <c r="DM59" s="89" t="str">
        <f t="shared" si="495"/>
        <v>#REF!</v>
      </c>
      <c r="DN59" s="89" t="str">
        <f t="shared" si="495"/>
        <v>#REF!</v>
      </c>
      <c r="DO59" s="92"/>
      <c r="DP59" s="92"/>
      <c r="DQ59" s="92"/>
      <c r="DR59" s="92"/>
      <c r="DS59" s="92"/>
      <c r="DT59" s="92"/>
      <c r="DU59" s="92"/>
      <c r="DV59" s="93">
        <f t="shared" ref="DV59:DV60" si="505">SUM(DP59:DT59)</f>
        <v>0</v>
      </c>
      <c r="DW59" s="56"/>
      <c r="DX59" s="67"/>
    </row>
    <row r="60" ht="18.0" customHeight="1">
      <c r="A60" s="76"/>
      <c r="B60" s="77"/>
      <c r="C60" s="78" t="str">
        <f t="shared" si="211"/>
        <v/>
      </c>
      <c r="D60" s="78" t="str">
        <f t="shared" si="212"/>
        <v/>
      </c>
      <c r="E60" s="78" t="str">
        <f t="shared" si="213"/>
        <v/>
      </c>
      <c r="F60" s="79">
        <f t="shared" si="279"/>
        <v>0</v>
      </c>
      <c r="G60" s="78" t="str">
        <f t="shared" si="214"/>
        <v/>
      </c>
      <c r="H60" s="78" t="str">
        <f t="shared" si="215"/>
        <v/>
      </c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>
        <f t="shared" si="10"/>
        <v>0</v>
      </c>
      <c r="W60" s="94" t="str">
        <f t="shared" si="11"/>
        <v>#DIV/0!</v>
      </c>
      <c r="X60" s="82" t="str">
        <f t="shared" si="12"/>
        <v>#DIV/0!</v>
      </c>
      <c r="Y60" s="80">
        <f t="shared" si="13"/>
        <v>0</v>
      </c>
      <c r="Z60" s="80">
        <f t="shared" si="14"/>
        <v>0</v>
      </c>
      <c r="AA60" s="80">
        <f t="shared" si="15"/>
        <v>0</v>
      </c>
      <c r="AB60" s="80">
        <f t="shared" si="16"/>
        <v>0</v>
      </c>
      <c r="AC60" s="80">
        <f t="shared" si="17"/>
        <v>0</v>
      </c>
      <c r="AD60" s="80">
        <f t="shared" si="18"/>
        <v>0</v>
      </c>
      <c r="AE60" s="83"/>
      <c r="AF60" s="94" t="str">
        <f t="shared" si="19"/>
        <v>#DIV/0!</v>
      </c>
      <c r="AG60" s="94" t="str">
        <f t="shared" si="20"/>
        <v>#DIV/0!</v>
      </c>
      <c r="AH60" s="94" t="str">
        <f t="shared" si="21"/>
        <v>#DIV/0!</v>
      </c>
      <c r="AI60" s="94" t="str">
        <f t="shared" si="22"/>
        <v>#DIV/0!</v>
      </c>
      <c r="AJ60" s="94" t="str">
        <f t="shared" si="23"/>
        <v>#DIV/0!</v>
      </c>
      <c r="AK60" s="83"/>
      <c r="AL60" s="94" t="str">
        <f t="shared" si="24"/>
        <v>#DIV/0!</v>
      </c>
      <c r="AM60" s="84" t="str">
        <f t="shared" si="25"/>
        <v>#DIV/0!</v>
      </c>
      <c r="AN60" s="85" t="str">
        <f t="shared" si="26"/>
        <v>#NUM!</v>
      </c>
      <c r="AO60" s="85" t="str">
        <f t="shared" si="27"/>
        <v>#NUM!</v>
      </c>
      <c r="AP60" s="86">
        <f t="shared" si="28"/>
        <v>0.465</v>
      </c>
      <c r="AQ60" s="85" t="str">
        <f t="shared" si="29"/>
        <v>#DIV/0!</v>
      </c>
      <c r="AR60" s="87" t="str">
        <f t="shared" si="30"/>
        <v>#DIV/0!</v>
      </c>
      <c r="AS60" s="88"/>
      <c r="AT60" s="85" t="str">
        <f t="shared" si="31"/>
        <v>#DIV/0!</v>
      </c>
      <c r="AU60" s="90" t="str">
        <f t="shared" si="32"/>
        <v/>
      </c>
      <c r="AV60" s="85">
        <f t="shared" si="33"/>
        <v>-15</v>
      </c>
      <c r="AW60" s="88" t="str">
        <f t="shared" si="34"/>
        <v/>
      </c>
      <c r="AX60" s="85" t="str">
        <f t="shared" si="35"/>
        <v>#DIV/0!</v>
      </c>
      <c r="AY60" s="85">
        <f t="shared" si="36"/>
        <v>0.4375</v>
      </c>
      <c r="AZ60" s="85">
        <f t="shared" si="37"/>
        <v>0.6956521739</v>
      </c>
      <c r="BA60" s="88"/>
      <c r="BB60" s="88"/>
      <c r="BC60" s="88"/>
      <c r="BD60" s="85" t="str">
        <f t="shared" si="38"/>
        <v>#DIV/0!</v>
      </c>
      <c r="BE60" s="85" t="str">
        <f t="shared" si="39"/>
        <v>#DIV/0!</v>
      </c>
      <c r="BF60" s="88" t="str">
        <f t="shared" ref="BF60:BK60" si="496">L60</f>
        <v/>
      </c>
      <c r="BG60" s="88" t="str">
        <f t="shared" si="496"/>
        <v/>
      </c>
      <c r="BH60" s="88" t="str">
        <f t="shared" si="496"/>
        <v/>
      </c>
      <c r="BI60" s="88" t="str">
        <f t="shared" si="496"/>
        <v/>
      </c>
      <c r="BJ60" s="88" t="str">
        <f t="shared" si="496"/>
        <v/>
      </c>
      <c r="BK60" s="88" t="str">
        <f t="shared" si="496"/>
        <v/>
      </c>
      <c r="BL60" s="88" t="str">
        <f t="shared" si="41"/>
        <v/>
      </c>
      <c r="BM60" s="88">
        <f t="shared" si="42"/>
        <v>0</v>
      </c>
      <c r="BN60" s="88">
        <f t="shared" si="43"/>
        <v>0</v>
      </c>
      <c r="BO60" s="88">
        <f t="shared" si="44"/>
        <v>0</v>
      </c>
      <c r="BP60" s="87" t="str">
        <f t="shared" si="45"/>
        <v>#DIV/0!</v>
      </c>
      <c r="BQ60" s="91"/>
      <c r="BR60" s="91"/>
      <c r="BS60" s="91"/>
      <c r="BT60" s="89" t="str">
        <f t="shared" si="46"/>
        <v>#NUM!</v>
      </c>
      <c r="BU60" s="88"/>
      <c r="BV60" s="88">
        <f t="shared" si="47"/>
        <v>3</v>
      </c>
      <c r="BW60" s="88" t="str">
        <f t="shared" ref="BW60:CA60" si="497">MAX(($BU60*BW$58)+BW$59,2)</f>
        <v>#REF!</v>
      </c>
      <c r="BX60" s="88" t="str">
        <f t="shared" si="497"/>
        <v>#REF!</v>
      </c>
      <c r="BY60" s="88" t="str">
        <f t="shared" si="497"/>
        <v>#REF!</v>
      </c>
      <c r="BZ60" s="88" t="str">
        <f t="shared" si="497"/>
        <v>#REF!</v>
      </c>
      <c r="CA60" s="88" t="str">
        <f t="shared" si="497"/>
        <v>#REF!</v>
      </c>
      <c r="CB60" s="88" t="str">
        <f t="shared" si="49"/>
        <v>#REF!</v>
      </c>
      <c r="CC60" s="88" t="str">
        <f t="shared" ref="CC60:CH60" si="498">MAX(($BU60*CC$58)+CC$59,2)</f>
        <v>#REF!</v>
      </c>
      <c r="CD60" s="88" t="str">
        <f t="shared" si="498"/>
        <v>#REF!</v>
      </c>
      <c r="CE60" s="88" t="str">
        <f t="shared" si="498"/>
        <v>#REF!</v>
      </c>
      <c r="CF60" s="88" t="str">
        <f t="shared" si="498"/>
        <v>#REF!</v>
      </c>
      <c r="CG60" s="88" t="str">
        <f t="shared" si="498"/>
        <v>#REF!</v>
      </c>
      <c r="CH60" s="88" t="str">
        <f t="shared" si="498"/>
        <v>#REF!</v>
      </c>
      <c r="CI60" s="88" t="str">
        <f t="shared" si="51"/>
        <v>#REF!</v>
      </c>
      <c r="CJ60" s="88" t="str">
        <f t="shared" si="52"/>
        <v>#REF!</v>
      </c>
      <c r="CK60" s="88" t="str">
        <f t="shared" si="53"/>
        <v>#REF!</v>
      </c>
      <c r="CL60" s="88" t="str">
        <f t="shared" si="54"/>
        <v>#REF!</v>
      </c>
      <c r="CM60" s="95" t="str">
        <f t="shared" si="55"/>
        <v>#REF!</v>
      </c>
      <c r="CN60" s="89" t="str">
        <f t="shared" si="56"/>
        <v>#REF!</v>
      </c>
      <c r="CO60" s="89" t="str">
        <f t="shared" si="57"/>
        <v>#REF!</v>
      </c>
      <c r="CP60" s="89" t="str">
        <f t="shared" si="58"/>
        <v>#REF!</v>
      </c>
      <c r="CQ60" s="88"/>
      <c r="CR60" s="89" t="str">
        <f t="shared" ref="CR60:CU60" si="499">(M60-BY60)/M60</f>
        <v>#REF!</v>
      </c>
      <c r="CS60" s="89" t="str">
        <f t="shared" si="499"/>
        <v>#REF!</v>
      </c>
      <c r="CT60" s="89" t="str">
        <f t="shared" si="499"/>
        <v>#REF!</v>
      </c>
      <c r="CU60" s="89" t="str">
        <f t="shared" si="499"/>
        <v>#REF!</v>
      </c>
      <c r="CV60" s="88"/>
      <c r="CW60" s="89" t="str">
        <f t="shared" si="60"/>
        <v>#REF!</v>
      </c>
      <c r="CX60" s="89" t="str">
        <f t="shared" ref="CX60:CY60" si="500">(R60-CI60)/R60</f>
        <v>#REF!</v>
      </c>
      <c r="CY60" s="89" t="str">
        <f t="shared" si="500"/>
        <v>#REF!</v>
      </c>
      <c r="CZ60" s="89" t="str">
        <f t="shared" ref="CZ60:DA60" si="501">(T60-CD60)/T60</f>
        <v>#REF!</v>
      </c>
      <c r="DA60" s="89" t="str">
        <f t="shared" si="501"/>
        <v>#REF!</v>
      </c>
      <c r="DB60" s="88"/>
      <c r="DC60" s="89" t="str">
        <f t="shared" ref="DC60:DE60" si="502">MAX(0,CN60)*$DB60</f>
        <v>#REF!</v>
      </c>
      <c r="DD60" s="89" t="str">
        <f t="shared" si="502"/>
        <v>#REF!</v>
      </c>
      <c r="DE60" s="89" t="str">
        <f t="shared" si="502"/>
        <v>#REF!</v>
      </c>
      <c r="DF60" s="89" t="str">
        <f t="shared" ref="DF60:DI60" si="503">MAX(0,CR60)*$DB60</f>
        <v>#REF!</v>
      </c>
      <c r="DG60" s="89" t="str">
        <f t="shared" si="503"/>
        <v>#REF!</v>
      </c>
      <c r="DH60" s="89" t="str">
        <f t="shared" si="503"/>
        <v>#REF!</v>
      </c>
      <c r="DI60" s="89" t="str">
        <f t="shared" si="503"/>
        <v>#REF!</v>
      </c>
      <c r="DJ60" s="89" t="str">
        <f t="shared" ref="DJ60:DN60" si="504">MAX(0,CW60)*$DB60</f>
        <v>#REF!</v>
      </c>
      <c r="DK60" s="89" t="str">
        <f t="shared" si="504"/>
        <v>#REF!</v>
      </c>
      <c r="DL60" s="89" t="str">
        <f t="shared" si="504"/>
        <v>#REF!</v>
      </c>
      <c r="DM60" s="89" t="str">
        <f t="shared" si="504"/>
        <v>#REF!</v>
      </c>
      <c r="DN60" s="89" t="str">
        <f t="shared" si="504"/>
        <v>#REF!</v>
      </c>
      <c r="DO60" s="92"/>
      <c r="DP60" s="92"/>
      <c r="DQ60" s="92"/>
      <c r="DR60" s="92"/>
      <c r="DS60" s="92"/>
      <c r="DT60" s="92"/>
      <c r="DU60" s="92"/>
      <c r="DV60" s="96">
        <f t="shared" si="505"/>
        <v>0</v>
      </c>
      <c r="DW60" s="56"/>
      <c r="DX60" s="67"/>
    </row>
    <row r="61" ht="14.25" customHeight="1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  <c r="AG61" s="97"/>
      <c r="AH61" s="97"/>
      <c r="AI61" s="97"/>
      <c r="AJ61" s="97"/>
      <c r="AK61" s="97"/>
      <c r="AL61" s="97"/>
      <c r="AM61" s="97"/>
      <c r="AN61" s="97"/>
      <c r="AO61" s="97"/>
      <c r="AP61" s="97"/>
      <c r="AQ61" s="97"/>
      <c r="AR61" s="97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  <c r="BP61" s="97"/>
      <c r="BQ61" s="97"/>
      <c r="BR61" s="97"/>
      <c r="BS61" s="97"/>
      <c r="BT61" s="97"/>
      <c r="BU61" s="97"/>
      <c r="BV61" s="97"/>
      <c r="BW61" s="97"/>
      <c r="BX61" s="97"/>
      <c r="BY61" s="97"/>
      <c r="BZ61" s="97"/>
      <c r="CA61" s="97"/>
      <c r="CB61" s="97"/>
      <c r="CC61" s="97"/>
      <c r="CD61" s="97"/>
      <c r="CE61" s="97"/>
      <c r="CF61" s="97"/>
      <c r="CG61" s="97"/>
      <c r="CH61" s="97"/>
      <c r="CI61" s="97"/>
      <c r="CJ61" s="97"/>
      <c r="CK61" s="97"/>
      <c r="CL61" s="97"/>
      <c r="CM61" s="97"/>
      <c r="CN61" s="97"/>
      <c r="CO61" s="97"/>
      <c r="CP61" s="97"/>
      <c r="CQ61" s="97"/>
      <c r="CR61" s="97"/>
      <c r="CS61" s="97"/>
      <c r="CT61" s="97"/>
      <c r="CU61" s="97"/>
      <c r="CV61" s="97"/>
      <c r="CW61" s="97"/>
      <c r="CX61" s="97"/>
      <c r="CY61" s="97"/>
      <c r="CZ61" s="97"/>
      <c r="DA61" s="97"/>
      <c r="DB61" s="97"/>
      <c r="DC61" s="97"/>
      <c r="DD61" s="97"/>
      <c r="DE61" s="97"/>
      <c r="DF61" s="97"/>
      <c r="DG61" s="97"/>
      <c r="DH61" s="97"/>
      <c r="DI61" s="97"/>
      <c r="DJ61" s="97"/>
      <c r="DK61" s="97"/>
      <c r="DL61" s="97"/>
      <c r="DM61" s="97"/>
      <c r="DN61" s="97"/>
      <c r="DO61" s="97"/>
      <c r="DP61" s="97"/>
      <c r="DQ61" s="97"/>
      <c r="DR61" s="97"/>
      <c r="DS61" s="97"/>
      <c r="DT61" s="97"/>
      <c r="DU61" s="97"/>
      <c r="DV61" s="98"/>
      <c r="DW61" s="99"/>
      <c r="DX61" s="97"/>
    </row>
    <row r="62" ht="14.25" customHeight="1">
      <c r="A62" s="97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  <c r="AG62" s="97"/>
      <c r="AH62" s="97"/>
      <c r="AI62" s="97"/>
      <c r="AJ62" s="97"/>
      <c r="AK62" s="97"/>
      <c r="AL62" s="97"/>
      <c r="AM62" s="97"/>
      <c r="AN62" s="97"/>
      <c r="AO62" s="97"/>
      <c r="AP62" s="97"/>
      <c r="AQ62" s="97"/>
      <c r="AR62" s="97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  <c r="BP62" s="97"/>
      <c r="BQ62" s="97"/>
      <c r="BR62" s="97"/>
      <c r="BS62" s="97"/>
      <c r="BT62" s="97"/>
      <c r="BU62" s="97"/>
      <c r="BV62" s="97"/>
      <c r="BW62" s="97"/>
      <c r="BX62" s="97"/>
      <c r="BY62" s="97"/>
      <c r="BZ62" s="97"/>
      <c r="CA62" s="97"/>
      <c r="CB62" s="97"/>
      <c r="CC62" s="97"/>
      <c r="CD62" s="97"/>
      <c r="CE62" s="97"/>
      <c r="CF62" s="97"/>
      <c r="CG62" s="97"/>
      <c r="CH62" s="97"/>
      <c r="CI62" s="97"/>
      <c r="CJ62" s="97"/>
      <c r="CK62" s="97"/>
      <c r="CL62" s="97"/>
      <c r="CM62" s="97"/>
      <c r="CN62" s="97"/>
      <c r="CO62" s="97"/>
      <c r="CP62" s="97"/>
      <c r="CQ62" s="97"/>
      <c r="CR62" s="97"/>
      <c r="CS62" s="97"/>
      <c r="CT62" s="97"/>
      <c r="CU62" s="97"/>
      <c r="CV62" s="97"/>
      <c r="CW62" s="97"/>
      <c r="CX62" s="97"/>
      <c r="CY62" s="97"/>
      <c r="CZ62" s="97"/>
      <c r="DA62" s="97"/>
      <c r="DB62" s="97"/>
      <c r="DC62" s="97"/>
      <c r="DD62" s="97"/>
      <c r="DE62" s="97"/>
      <c r="DF62" s="97"/>
      <c r="DG62" s="97"/>
      <c r="DH62" s="97"/>
      <c r="DI62" s="97"/>
      <c r="DJ62" s="97"/>
      <c r="DK62" s="97"/>
      <c r="DL62" s="97"/>
      <c r="DM62" s="97"/>
      <c r="DN62" s="97"/>
      <c r="DO62" s="97"/>
      <c r="DP62" s="97"/>
      <c r="DQ62" s="97"/>
      <c r="DR62" s="97"/>
      <c r="DS62" s="97"/>
      <c r="DT62" s="97"/>
      <c r="DU62" s="97"/>
      <c r="DV62" s="100"/>
      <c r="DX62" s="97"/>
    </row>
    <row r="63" ht="14.25" customHeight="1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97"/>
      <c r="AH63" s="97"/>
      <c r="AI63" s="97"/>
      <c r="AJ63" s="97"/>
      <c r="AK63" s="97"/>
      <c r="AL63" s="97"/>
      <c r="AM63" s="97"/>
      <c r="AN63" s="97"/>
      <c r="AO63" s="97"/>
      <c r="AP63" s="97"/>
      <c r="AQ63" s="97"/>
      <c r="AR63" s="97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  <c r="BP63" s="97"/>
      <c r="BQ63" s="97"/>
      <c r="BR63" s="97"/>
      <c r="BS63" s="97"/>
      <c r="BT63" s="97"/>
      <c r="BU63" s="97"/>
      <c r="BV63" s="97"/>
      <c r="BW63" s="97"/>
      <c r="BX63" s="97"/>
      <c r="BY63" s="97"/>
      <c r="BZ63" s="97"/>
      <c r="CA63" s="97"/>
      <c r="CB63" s="97"/>
      <c r="CC63" s="97"/>
      <c r="CD63" s="97"/>
      <c r="CE63" s="97"/>
      <c r="CF63" s="97"/>
      <c r="CG63" s="97"/>
      <c r="CH63" s="97"/>
      <c r="CI63" s="97"/>
      <c r="CJ63" s="97"/>
      <c r="CK63" s="97"/>
      <c r="CL63" s="97"/>
      <c r="CM63" s="97"/>
      <c r="CN63" s="97"/>
      <c r="CO63" s="97"/>
      <c r="CP63" s="97"/>
      <c r="CQ63" s="97"/>
      <c r="CR63" s="97"/>
      <c r="CS63" s="97"/>
      <c r="CT63" s="97"/>
      <c r="CU63" s="97"/>
      <c r="CV63" s="97"/>
      <c r="CW63" s="97"/>
      <c r="CX63" s="97"/>
      <c r="CY63" s="97"/>
      <c r="CZ63" s="97"/>
      <c r="DA63" s="97"/>
      <c r="DB63" s="97"/>
      <c r="DC63" s="97"/>
      <c r="DD63" s="97"/>
      <c r="DE63" s="97"/>
      <c r="DF63" s="97"/>
      <c r="DG63" s="97"/>
      <c r="DH63" s="97"/>
      <c r="DI63" s="97"/>
      <c r="DJ63" s="97"/>
      <c r="DK63" s="97"/>
      <c r="DL63" s="97"/>
      <c r="DM63" s="97"/>
      <c r="DN63" s="97"/>
      <c r="DO63" s="97"/>
      <c r="DP63" s="97"/>
      <c r="DQ63" s="97"/>
      <c r="DR63" s="97"/>
      <c r="DS63" s="97"/>
      <c r="DT63" s="97"/>
      <c r="DU63" s="97"/>
      <c r="DV63" s="100"/>
      <c r="DX63" s="97"/>
    </row>
    <row r="64" ht="14.25" customHeight="1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97"/>
      <c r="AH64" s="97"/>
      <c r="AI64" s="97"/>
      <c r="AJ64" s="97"/>
      <c r="AK64" s="97"/>
      <c r="AL64" s="97"/>
      <c r="AM64" s="97"/>
      <c r="AN64" s="97"/>
      <c r="AO64" s="97"/>
      <c r="AP64" s="97"/>
      <c r="AQ64" s="97"/>
      <c r="AR64" s="97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  <c r="BP64" s="97"/>
      <c r="BQ64" s="97"/>
      <c r="BR64" s="97"/>
      <c r="BS64" s="97"/>
      <c r="BT64" s="97"/>
      <c r="BU64" s="97"/>
      <c r="BV64" s="97"/>
      <c r="BW64" s="97"/>
      <c r="BX64" s="97"/>
      <c r="BY64" s="97"/>
      <c r="BZ64" s="97"/>
      <c r="CA64" s="97"/>
      <c r="CB64" s="97"/>
      <c r="CC64" s="97"/>
      <c r="CD64" s="97"/>
      <c r="CE64" s="97"/>
      <c r="CF64" s="97"/>
      <c r="CG64" s="97"/>
      <c r="CH64" s="97"/>
      <c r="CI64" s="97"/>
      <c r="CJ64" s="97"/>
      <c r="CK64" s="97"/>
      <c r="CL64" s="97"/>
      <c r="CM64" s="97"/>
      <c r="CN64" s="97"/>
      <c r="CO64" s="97"/>
      <c r="CP64" s="97"/>
      <c r="CQ64" s="97"/>
      <c r="CR64" s="97"/>
      <c r="CS64" s="97"/>
      <c r="CT64" s="97"/>
      <c r="CU64" s="97"/>
      <c r="CV64" s="97"/>
      <c r="CW64" s="97"/>
      <c r="CX64" s="97"/>
      <c r="CY64" s="97"/>
      <c r="CZ64" s="97"/>
      <c r="DA64" s="97"/>
      <c r="DB64" s="97"/>
      <c r="DC64" s="97"/>
      <c r="DD64" s="97"/>
      <c r="DE64" s="97"/>
      <c r="DF64" s="97"/>
      <c r="DG64" s="97"/>
      <c r="DH64" s="97"/>
      <c r="DI64" s="97"/>
      <c r="DJ64" s="97"/>
      <c r="DK64" s="97"/>
      <c r="DL64" s="97"/>
      <c r="DM64" s="97"/>
      <c r="DN64" s="97"/>
      <c r="DO64" s="97"/>
      <c r="DP64" s="97"/>
      <c r="DQ64" s="97"/>
      <c r="DR64" s="97"/>
      <c r="DS64" s="97"/>
      <c r="DT64" s="97"/>
      <c r="DU64" s="97"/>
      <c r="DV64" s="101"/>
      <c r="DW64" s="101"/>
      <c r="DX64" s="97"/>
    </row>
    <row r="65" ht="14.25" customHeight="1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97"/>
      <c r="AH65" s="97"/>
      <c r="AI65" s="97"/>
      <c r="AJ65" s="97"/>
      <c r="AK65" s="97"/>
      <c r="AL65" s="97"/>
      <c r="AM65" s="97"/>
      <c r="AN65" s="97"/>
      <c r="AO65" s="97"/>
      <c r="AP65" s="97"/>
      <c r="AQ65" s="97"/>
      <c r="AR65" s="97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  <c r="BP65" s="97"/>
      <c r="BQ65" s="97"/>
      <c r="BR65" s="97"/>
      <c r="BS65" s="97"/>
      <c r="BT65" s="97"/>
      <c r="BU65" s="97"/>
      <c r="BV65" s="97"/>
      <c r="BW65" s="97"/>
      <c r="BX65" s="97"/>
      <c r="BY65" s="97"/>
      <c r="BZ65" s="97"/>
      <c r="CA65" s="97"/>
      <c r="CB65" s="97"/>
      <c r="CC65" s="97"/>
      <c r="CD65" s="97"/>
      <c r="CE65" s="97"/>
      <c r="CF65" s="97"/>
      <c r="CG65" s="97"/>
      <c r="CH65" s="97"/>
      <c r="CI65" s="97"/>
      <c r="CJ65" s="97"/>
      <c r="CK65" s="97"/>
      <c r="CL65" s="97"/>
      <c r="CM65" s="97"/>
      <c r="CN65" s="97"/>
      <c r="CO65" s="97"/>
      <c r="CP65" s="97"/>
      <c r="CQ65" s="97"/>
      <c r="CR65" s="97"/>
      <c r="CS65" s="97"/>
      <c r="CT65" s="97"/>
      <c r="CU65" s="97"/>
      <c r="CV65" s="97"/>
      <c r="CW65" s="97"/>
      <c r="CX65" s="97"/>
      <c r="CY65" s="97"/>
      <c r="CZ65" s="97"/>
      <c r="DA65" s="97"/>
      <c r="DB65" s="97"/>
      <c r="DC65" s="97"/>
      <c r="DD65" s="97"/>
      <c r="DE65" s="97"/>
      <c r="DF65" s="97"/>
      <c r="DG65" s="97"/>
      <c r="DH65" s="97"/>
      <c r="DI65" s="97"/>
      <c r="DJ65" s="97"/>
      <c r="DK65" s="97"/>
      <c r="DL65" s="97"/>
      <c r="DM65" s="97"/>
      <c r="DN65" s="97"/>
      <c r="DO65" s="97"/>
      <c r="DP65" s="97"/>
      <c r="DQ65" s="97"/>
      <c r="DR65" s="97"/>
      <c r="DS65" s="97"/>
      <c r="DT65" s="97"/>
      <c r="DU65" s="97"/>
      <c r="DV65" s="97"/>
      <c r="DW65" s="97"/>
      <c r="DX65" s="97"/>
    </row>
    <row r="66" ht="14.25" customHeight="1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97"/>
      <c r="AH66" s="97"/>
      <c r="AI66" s="97"/>
      <c r="AJ66" s="97"/>
      <c r="AK66" s="97"/>
      <c r="AL66" s="97"/>
      <c r="AM66" s="97"/>
      <c r="AN66" s="97"/>
      <c r="AO66" s="97"/>
      <c r="AP66" s="97"/>
      <c r="AQ66" s="97"/>
      <c r="AR66" s="97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  <c r="BP66" s="97"/>
      <c r="BQ66" s="97"/>
      <c r="BR66" s="97"/>
      <c r="BS66" s="97"/>
      <c r="BT66" s="97"/>
      <c r="BU66" s="97"/>
      <c r="BV66" s="97"/>
      <c r="BW66" s="97"/>
      <c r="BX66" s="97"/>
      <c r="BY66" s="97"/>
      <c r="BZ66" s="97"/>
      <c r="CA66" s="97"/>
      <c r="CB66" s="97"/>
      <c r="CC66" s="97"/>
      <c r="CD66" s="97"/>
      <c r="CE66" s="97"/>
      <c r="CF66" s="97"/>
      <c r="CG66" s="97"/>
      <c r="CH66" s="97"/>
      <c r="CI66" s="97"/>
      <c r="CJ66" s="97"/>
      <c r="CK66" s="97"/>
      <c r="CL66" s="97"/>
      <c r="CM66" s="97"/>
      <c r="CN66" s="97"/>
      <c r="CO66" s="97"/>
      <c r="CP66" s="97"/>
      <c r="CQ66" s="97"/>
      <c r="CR66" s="97"/>
      <c r="CS66" s="97"/>
      <c r="CT66" s="97"/>
      <c r="CU66" s="97"/>
      <c r="CV66" s="97"/>
      <c r="CW66" s="97"/>
      <c r="CX66" s="97"/>
      <c r="CY66" s="97"/>
      <c r="CZ66" s="97"/>
      <c r="DA66" s="97"/>
      <c r="DB66" s="97"/>
      <c r="DC66" s="97"/>
      <c r="DD66" s="97"/>
      <c r="DE66" s="97"/>
      <c r="DF66" s="97"/>
      <c r="DG66" s="97"/>
      <c r="DH66" s="97"/>
      <c r="DI66" s="97"/>
      <c r="DJ66" s="97"/>
      <c r="DK66" s="97"/>
      <c r="DL66" s="97"/>
      <c r="DM66" s="97"/>
      <c r="DN66" s="97"/>
      <c r="DO66" s="97"/>
      <c r="DP66" s="97"/>
      <c r="DQ66" s="97"/>
      <c r="DR66" s="97"/>
      <c r="DS66" s="97"/>
      <c r="DT66" s="97"/>
      <c r="DU66" s="97"/>
      <c r="DV66" s="97"/>
      <c r="DW66" s="97"/>
      <c r="DX66" s="97"/>
    </row>
    <row r="67" ht="14.25" customHeight="1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97"/>
      <c r="AH67" s="97"/>
      <c r="AI67" s="97"/>
      <c r="AJ67" s="97"/>
      <c r="AK67" s="97"/>
      <c r="AL67" s="97"/>
      <c r="AM67" s="97"/>
      <c r="AN67" s="97"/>
      <c r="AO67" s="97"/>
      <c r="AP67" s="97"/>
      <c r="AQ67" s="97"/>
      <c r="AR67" s="97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  <c r="BP67" s="97"/>
      <c r="BQ67" s="97"/>
      <c r="BR67" s="97"/>
      <c r="BS67" s="97"/>
      <c r="BT67" s="97"/>
      <c r="BU67" s="97"/>
      <c r="BV67" s="97"/>
      <c r="BW67" s="97"/>
      <c r="BX67" s="97"/>
      <c r="BY67" s="97"/>
      <c r="BZ67" s="97"/>
      <c r="CA67" s="97"/>
      <c r="CB67" s="97"/>
      <c r="CC67" s="97"/>
      <c r="CD67" s="97"/>
      <c r="CE67" s="97"/>
      <c r="CF67" s="97"/>
      <c r="CG67" s="97"/>
      <c r="CH67" s="97"/>
      <c r="CI67" s="97"/>
      <c r="CJ67" s="97"/>
      <c r="CK67" s="97"/>
      <c r="CL67" s="97"/>
      <c r="CM67" s="97"/>
      <c r="CN67" s="97"/>
      <c r="CO67" s="97"/>
      <c r="CP67" s="97"/>
      <c r="CQ67" s="97"/>
      <c r="CR67" s="97"/>
      <c r="CS67" s="97"/>
      <c r="CT67" s="97"/>
      <c r="CU67" s="97"/>
      <c r="CV67" s="97"/>
      <c r="CW67" s="97"/>
      <c r="CX67" s="97"/>
      <c r="CY67" s="97"/>
      <c r="CZ67" s="97"/>
      <c r="DA67" s="97"/>
      <c r="DB67" s="97"/>
      <c r="DC67" s="97"/>
      <c r="DD67" s="97"/>
      <c r="DE67" s="97"/>
      <c r="DF67" s="97"/>
      <c r="DG67" s="97"/>
      <c r="DH67" s="97"/>
      <c r="DI67" s="97"/>
      <c r="DJ67" s="97"/>
      <c r="DK67" s="97"/>
      <c r="DL67" s="97"/>
      <c r="DM67" s="97"/>
      <c r="DN67" s="97"/>
      <c r="DO67" s="97"/>
      <c r="DP67" s="97"/>
      <c r="DQ67" s="97"/>
      <c r="DR67" s="97"/>
      <c r="DS67" s="97"/>
      <c r="DT67" s="97"/>
      <c r="DU67" s="97"/>
      <c r="DV67" s="97"/>
      <c r="DW67" s="97"/>
      <c r="DX67" s="97"/>
    </row>
    <row r="68" ht="14.25" customHeight="1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97"/>
      <c r="AH68" s="97"/>
      <c r="AI68" s="97"/>
      <c r="AJ68" s="97"/>
      <c r="AK68" s="97"/>
      <c r="AL68" s="97"/>
      <c r="AM68" s="97"/>
      <c r="AN68" s="97"/>
      <c r="AO68" s="97"/>
      <c r="AP68" s="97"/>
      <c r="AQ68" s="97"/>
      <c r="AR68" s="97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  <c r="BP68" s="97"/>
      <c r="BQ68" s="97"/>
      <c r="BR68" s="97"/>
      <c r="BS68" s="97"/>
      <c r="BT68" s="97"/>
      <c r="BU68" s="97"/>
      <c r="BV68" s="97"/>
      <c r="BW68" s="97"/>
      <c r="BX68" s="97"/>
      <c r="BY68" s="97"/>
      <c r="BZ68" s="97"/>
      <c r="CA68" s="97"/>
      <c r="CB68" s="97"/>
      <c r="CC68" s="97"/>
      <c r="CD68" s="97"/>
      <c r="CE68" s="97"/>
      <c r="CF68" s="97"/>
      <c r="CG68" s="97"/>
      <c r="CH68" s="97"/>
      <c r="CI68" s="97"/>
      <c r="CJ68" s="97"/>
      <c r="CK68" s="97"/>
      <c r="CL68" s="97"/>
      <c r="CM68" s="97"/>
      <c r="CN68" s="97"/>
      <c r="CO68" s="97"/>
      <c r="CP68" s="97"/>
      <c r="CQ68" s="97"/>
      <c r="CR68" s="97"/>
      <c r="CS68" s="97"/>
      <c r="CT68" s="97"/>
      <c r="CU68" s="97"/>
      <c r="CV68" s="97"/>
      <c r="CW68" s="97"/>
      <c r="CX68" s="97"/>
      <c r="CY68" s="97"/>
      <c r="CZ68" s="97"/>
      <c r="DA68" s="97"/>
      <c r="DB68" s="97"/>
      <c r="DC68" s="97"/>
      <c r="DD68" s="97"/>
      <c r="DE68" s="97"/>
      <c r="DF68" s="97"/>
      <c r="DG68" s="97"/>
      <c r="DH68" s="97"/>
      <c r="DI68" s="97"/>
      <c r="DJ68" s="97"/>
      <c r="DK68" s="97"/>
      <c r="DL68" s="97"/>
      <c r="DM68" s="97"/>
      <c r="DN68" s="97"/>
      <c r="DO68" s="97"/>
      <c r="DP68" s="97"/>
      <c r="DQ68" s="97"/>
      <c r="DR68" s="97"/>
      <c r="DS68" s="97"/>
      <c r="DT68" s="97"/>
      <c r="DU68" s="97"/>
      <c r="DV68" s="97"/>
      <c r="DW68" s="97"/>
      <c r="DX68" s="97"/>
    </row>
    <row r="69" ht="14.25" customHeight="1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97"/>
      <c r="AH69" s="97"/>
      <c r="AI69" s="97"/>
      <c r="AJ69" s="97"/>
      <c r="AK69" s="97"/>
      <c r="AL69" s="97"/>
      <c r="AM69" s="97"/>
      <c r="AN69" s="97"/>
      <c r="AO69" s="97"/>
      <c r="AP69" s="97"/>
      <c r="AQ69" s="97"/>
      <c r="AR69" s="97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  <c r="BP69" s="97"/>
      <c r="BQ69" s="97"/>
      <c r="BR69" s="97"/>
      <c r="BS69" s="97"/>
      <c r="BT69" s="97"/>
      <c r="BU69" s="97"/>
      <c r="BV69" s="97"/>
      <c r="BW69" s="97"/>
      <c r="BX69" s="97"/>
      <c r="BY69" s="97"/>
      <c r="BZ69" s="97"/>
      <c r="CA69" s="97"/>
      <c r="CB69" s="97"/>
      <c r="CC69" s="97"/>
      <c r="CD69" s="97"/>
      <c r="CE69" s="97"/>
      <c r="CF69" s="97"/>
      <c r="CG69" s="97"/>
      <c r="CH69" s="97"/>
      <c r="CI69" s="97"/>
      <c r="CJ69" s="97"/>
      <c r="CK69" s="97"/>
      <c r="CL69" s="97"/>
      <c r="CM69" s="97"/>
      <c r="CN69" s="97"/>
      <c r="CO69" s="97"/>
      <c r="CP69" s="97"/>
      <c r="CQ69" s="97"/>
      <c r="CR69" s="97"/>
      <c r="CS69" s="97"/>
      <c r="CT69" s="97"/>
      <c r="CU69" s="97"/>
      <c r="CV69" s="97"/>
      <c r="CW69" s="97"/>
      <c r="CX69" s="97"/>
      <c r="CY69" s="97"/>
      <c r="CZ69" s="97"/>
      <c r="DA69" s="97"/>
      <c r="DB69" s="97"/>
      <c r="DC69" s="97"/>
      <c r="DD69" s="97"/>
      <c r="DE69" s="97"/>
      <c r="DF69" s="97"/>
      <c r="DG69" s="97"/>
      <c r="DH69" s="97"/>
      <c r="DI69" s="97"/>
      <c r="DJ69" s="97"/>
      <c r="DK69" s="97"/>
      <c r="DL69" s="97"/>
      <c r="DM69" s="97"/>
      <c r="DN69" s="97"/>
      <c r="DO69" s="97"/>
      <c r="DP69" s="97"/>
      <c r="DQ69" s="97"/>
      <c r="DR69" s="97"/>
      <c r="DS69" s="97"/>
      <c r="DT69" s="97"/>
      <c r="DU69" s="97"/>
      <c r="DV69" s="97"/>
      <c r="DW69" s="97"/>
      <c r="DX69" s="97"/>
    </row>
    <row r="70" ht="14.25" customHeight="1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  <c r="AF70" s="97"/>
      <c r="AG70" s="97"/>
      <c r="AH70" s="97"/>
      <c r="AI70" s="97"/>
      <c r="AJ70" s="97"/>
      <c r="AK70" s="97"/>
      <c r="AL70" s="97"/>
      <c r="AM70" s="97"/>
      <c r="AN70" s="97"/>
      <c r="AO70" s="97"/>
      <c r="AP70" s="97"/>
      <c r="AQ70" s="97"/>
      <c r="AR70" s="97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  <c r="BP70" s="97"/>
      <c r="BQ70" s="97"/>
      <c r="BR70" s="97"/>
      <c r="BS70" s="97"/>
      <c r="BT70" s="97"/>
      <c r="BU70" s="97"/>
      <c r="BV70" s="97"/>
      <c r="BW70" s="97"/>
      <c r="BX70" s="97"/>
      <c r="BY70" s="97"/>
      <c r="BZ70" s="97"/>
      <c r="CA70" s="97"/>
      <c r="CB70" s="97"/>
      <c r="CC70" s="97"/>
      <c r="CD70" s="97"/>
      <c r="CE70" s="97"/>
      <c r="CF70" s="97"/>
      <c r="CG70" s="97"/>
      <c r="CH70" s="97"/>
      <c r="CI70" s="97"/>
      <c r="CJ70" s="97"/>
      <c r="CK70" s="97"/>
      <c r="CL70" s="97"/>
      <c r="CM70" s="97"/>
      <c r="CN70" s="97"/>
      <c r="CO70" s="97"/>
      <c r="CP70" s="97"/>
      <c r="CQ70" s="97"/>
      <c r="CR70" s="97"/>
      <c r="CS70" s="97"/>
      <c r="CT70" s="97"/>
      <c r="CU70" s="97"/>
      <c r="CV70" s="97"/>
      <c r="CW70" s="97"/>
      <c r="CX70" s="97"/>
      <c r="CY70" s="97"/>
      <c r="CZ70" s="97"/>
      <c r="DA70" s="97"/>
      <c r="DB70" s="97"/>
      <c r="DC70" s="97"/>
      <c r="DD70" s="97"/>
      <c r="DE70" s="97"/>
      <c r="DF70" s="97"/>
      <c r="DG70" s="97"/>
      <c r="DH70" s="97"/>
      <c r="DI70" s="97"/>
      <c r="DJ70" s="97"/>
      <c r="DK70" s="97"/>
      <c r="DL70" s="97"/>
      <c r="DM70" s="97"/>
      <c r="DN70" s="97"/>
      <c r="DO70" s="97"/>
      <c r="DP70" s="97"/>
      <c r="DQ70" s="97"/>
      <c r="DR70" s="97"/>
      <c r="DS70" s="97"/>
      <c r="DT70" s="97"/>
      <c r="DU70" s="97"/>
      <c r="DV70" s="97"/>
      <c r="DW70" s="97"/>
      <c r="DX70" s="97"/>
    </row>
    <row r="71" ht="14.25" customHeight="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  <c r="AF71" s="97"/>
      <c r="AG71" s="97"/>
      <c r="AH71" s="97"/>
      <c r="AI71" s="97"/>
      <c r="AJ71" s="97"/>
      <c r="AK71" s="97"/>
      <c r="AL71" s="97"/>
      <c r="AM71" s="97"/>
      <c r="AN71" s="97"/>
      <c r="AO71" s="97"/>
      <c r="AP71" s="97"/>
      <c r="AQ71" s="97"/>
      <c r="AR71" s="97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  <c r="BP71" s="97"/>
      <c r="BQ71" s="97"/>
      <c r="BR71" s="97"/>
      <c r="BS71" s="97"/>
      <c r="BT71" s="97"/>
      <c r="BU71" s="97"/>
      <c r="BV71" s="97"/>
      <c r="BW71" s="97"/>
      <c r="BX71" s="97"/>
      <c r="BY71" s="97"/>
      <c r="BZ71" s="97"/>
      <c r="CA71" s="97"/>
      <c r="CB71" s="97"/>
      <c r="CC71" s="97"/>
      <c r="CD71" s="97"/>
      <c r="CE71" s="97"/>
      <c r="CF71" s="97"/>
      <c r="CG71" s="97"/>
      <c r="CH71" s="97"/>
      <c r="CI71" s="97"/>
      <c r="CJ71" s="97"/>
      <c r="CK71" s="97"/>
      <c r="CL71" s="97"/>
      <c r="CM71" s="97"/>
      <c r="CN71" s="97"/>
      <c r="CO71" s="97"/>
      <c r="CP71" s="97"/>
      <c r="CQ71" s="97"/>
      <c r="CR71" s="97"/>
      <c r="CS71" s="97"/>
      <c r="CT71" s="97"/>
      <c r="CU71" s="97"/>
      <c r="CV71" s="97"/>
      <c r="CW71" s="97"/>
      <c r="CX71" s="97"/>
      <c r="CY71" s="97"/>
      <c r="CZ71" s="97"/>
      <c r="DA71" s="97"/>
      <c r="DB71" s="97"/>
      <c r="DC71" s="97"/>
      <c r="DD71" s="97"/>
      <c r="DE71" s="97"/>
      <c r="DF71" s="97"/>
      <c r="DG71" s="97"/>
      <c r="DH71" s="97"/>
      <c r="DI71" s="97"/>
      <c r="DJ71" s="97"/>
      <c r="DK71" s="97"/>
      <c r="DL71" s="97"/>
      <c r="DM71" s="97"/>
      <c r="DN71" s="97"/>
      <c r="DO71" s="97"/>
      <c r="DP71" s="97"/>
      <c r="DQ71" s="97"/>
      <c r="DR71" s="97"/>
      <c r="DS71" s="97"/>
      <c r="DT71" s="97"/>
      <c r="DU71" s="97"/>
      <c r="DV71" s="97"/>
      <c r="DW71" s="97"/>
      <c r="DX71" s="97"/>
    </row>
    <row r="72" ht="14.25" customHeight="1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  <c r="AD72" s="97"/>
      <c r="AE72" s="97"/>
      <c r="AF72" s="97"/>
      <c r="AG72" s="97"/>
      <c r="AH72" s="97"/>
      <c r="AI72" s="97"/>
      <c r="AJ72" s="97"/>
      <c r="AK72" s="97"/>
      <c r="AL72" s="97"/>
      <c r="AM72" s="97"/>
      <c r="AN72" s="97"/>
      <c r="AO72" s="97"/>
      <c r="AP72" s="97"/>
      <c r="AQ72" s="97"/>
      <c r="AR72" s="97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  <c r="BP72" s="97"/>
      <c r="BQ72" s="97"/>
      <c r="BR72" s="97"/>
      <c r="BS72" s="97"/>
      <c r="BT72" s="97"/>
      <c r="BU72" s="97"/>
      <c r="BV72" s="97"/>
      <c r="BW72" s="97"/>
      <c r="BX72" s="97"/>
      <c r="BY72" s="97"/>
      <c r="BZ72" s="97"/>
      <c r="CA72" s="97"/>
      <c r="CB72" s="97"/>
      <c r="CC72" s="97"/>
      <c r="CD72" s="97"/>
      <c r="CE72" s="97"/>
      <c r="CF72" s="97"/>
      <c r="CG72" s="97"/>
      <c r="CH72" s="97"/>
      <c r="CI72" s="97"/>
      <c r="CJ72" s="97"/>
      <c r="CK72" s="97"/>
      <c r="CL72" s="97"/>
      <c r="CM72" s="97"/>
      <c r="CN72" s="97"/>
      <c r="CO72" s="97"/>
      <c r="CP72" s="97"/>
      <c r="CQ72" s="97"/>
      <c r="CR72" s="97"/>
      <c r="CS72" s="97"/>
      <c r="CT72" s="97"/>
      <c r="CU72" s="97"/>
      <c r="CV72" s="97"/>
      <c r="CW72" s="97"/>
      <c r="CX72" s="97"/>
      <c r="CY72" s="97"/>
      <c r="CZ72" s="97"/>
      <c r="DA72" s="97"/>
      <c r="DB72" s="97"/>
      <c r="DC72" s="97"/>
      <c r="DD72" s="97"/>
      <c r="DE72" s="97"/>
      <c r="DF72" s="97"/>
      <c r="DG72" s="97"/>
      <c r="DH72" s="97"/>
      <c r="DI72" s="97"/>
      <c r="DJ72" s="97"/>
      <c r="DK72" s="97"/>
      <c r="DL72" s="97"/>
      <c r="DM72" s="97"/>
      <c r="DN72" s="97"/>
      <c r="DO72" s="97"/>
      <c r="DP72" s="97"/>
      <c r="DQ72" s="97"/>
      <c r="DR72" s="97"/>
      <c r="DS72" s="97"/>
      <c r="DT72" s="97"/>
      <c r="DU72" s="97"/>
      <c r="DV72" s="97"/>
      <c r="DW72" s="97"/>
      <c r="DX72" s="97"/>
    </row>
    <row r="73" ht="14.25" customHeight="1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  <c r="AF73" s="97"/>
      <c r="AG73" s="97"/>
      <c r="AH73" s="97"/>
      <c r="AI73" s="97"/>
      <c r="AJ73" s="97"/>
      <c r="AK73" s="97"/>
      <c r="AL73" s="97"/>
      <c r="AM73" s="97"/>
      <c r="AN73" s="97"/>
      <c r="AO73" s="97"/>
      <c r="AP73" s="97"/>
      <c r="AQ73" s="97"/>
      <c r="AR73" s="97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  <c r="BP73" s="97"/>
      <c r="BQ73" s="97"/>
      <c r="BR73" s="97"/>
      <c r="BS73" s="97"/>
      <c r="BT73" s="97"/>
      <c r="BU73" s="97"/>
      <c r="BV73" s="97"/>
      <c r="BW73" s="97"/>
      <c r="BX73" s="97"/>
      <c r="BY73" s="97"/>
      <c r="BZ73" s="97"/>
      <c r="CA73" s="97"/>
      <c r="CB73" s="97"/>
      <c r="CC73" s="97"/>
      <c r="CD73" s="97"/>
      <c r="CE73" s="97"/>
      <c r="CF73" s="97"/>
      <c r="CG73" s="97"/>
      <c r="CH73" s="97"/>
      <c r="CI73" s="97"/>
      <c r="CJ73" s="97"/>
      <c r="CK73" s="97"/>
      <c r="CL73" s="97"/>
      <c r="CM73" s="97"/>
      <c r="CN73" s="97"/>
      <c r="CO73" s="97"/>
      <c r="CP73" s="97"/>
      <c r="CQ73" s="97"/>
      <c r="CR73" s="97"/>
      <c r="CS73" s="97"/>
      <c r="CT73" s="97"/>
      <c r="CU73" s="97"/>
      <c r="CV73" s="97"/>
      <c r="CW73" s="97"/>
      <c r="CX73" s="97"/>
      <c r="CY73" s="97"/>
      <c r="CZ73" s="97"/>
      <c r="DA73" s="97"/>
      <c r="DB73" s="97"/>
      <c r="DC73" s="97"/>
      <c r="DD73" s="97"/>
      <c r="DE73" s="97"/>
      <c r="DF73" s="97"/>
      <c r="DG73" s="97"/>
      <c r="DH73" s="97"/>
      <c r="DI73" s="97"/>
      <c r="DJ73" s="97"/>
      <c r="DK73" s="97"/>
      <c r="DL73" s="97"/>
      <c r="DM73" s="97"/>
      <c r="DN73" s="97"/>
      <c r="DO73" s="97"/>
      <c r="DP73" s="97"/>
      <c r="DQ73" s="97"/>
      <c r="DR73" s="97"/>
      <c r="DS73" s="97"/>
      <c r="DT73" s="97"/>
      <c r="DU73" s="97"/>
      <c r="DV73" s="97"/>
      <c r="DW73" s="97"/>
      <c r="DX73" s="97"/>
    </row>
    <row r="74" ht="14.25" customHeight="1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  <c r="AD74" s="97"/>
      <c r="AE74" s="97"/>
      <c r="AF74" s="97"/>
      <c r="AG74" s="97"/>
      <c r="AH74" s="97"/>
      <c r="AI74" s="97"/>
      <c r="AJ74" s="97"/>
      <c r="AK74" s="97"/>
      <c r="AL74" s="97"/>
      <c r="AM74" s="97"/>
      <c r="AN74" s="97"/>
      <c r="AO74" s="97"/>
      <c r="AP74" s="97"/>
      <c r="AQ74" s="97"/>
      <c r="AR74" s="97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  <c r="BP74" s="97"/>
      <c r="BQ74" s="97"/>
      <c r="BR74" s="97"/>
      <c r="BS74" s="97"/>
      <c r="BT74" s="97"/>
      <c r="BU74" s="97"/>
      <c r="BV74" s="97"/>
      <c r="BW74" s="97"/>
      <c r="BX74" s="97"/>
      <c r="BY74" s="97"/>
      <c r="BZ74" s="97"/>
      <c r="CA74" s="97"/>
      <c r="CB74" s="97"/>
      <c r="CC74" s="97"/>
      <c r="CD74" s="97"/>
      <c r="CE74" s="97"/>
      <c r="CF74" s="97"/>
      <c r="CG74" s="97"/>
      <c r="CH74" s="97"/>
      <c r="CI74" s="97"/>
      <c r="CJ74" s="97"/>
      <c r="CK74" s="97"/>
      <c r="CL74" s="97"/>
      <c r="CM74" s="97"/>
      <c r="CN74" s="97"/>
      <c r="CO74" s="97"/>
      <c r="CP74" s="97"/>
      <c r="CQ74" s="97"/>
      <c r="CR74" s="97"/>
      <c r="CS74" s="97"/>
      <c r="CT74" s="97"/>
      <c r="CU74" s="97"/>
      <c r="CV74" s="97"/>
      <c r="CW74" s="97"/>
      <c r="CX74" s="97"/>
      <c r="CY74" s="97"/>
      <c r="CZ74" s="97"/>
      <c r="DA74" s="97"/>
      <c r="DB74" s="97"/>
      <c r="DC74" s="97"/>
      <c r="DD74" s="97"/>
      <c r="DE74" s="97"/>
      <c r="DF74" s="97"/>
      <c r="DG74" s="97"/>
      <c r="DH74" s="97"/>
      <c r="DI74" s="97"/>
      <c r="DJ74" s="97"/>
      <c r="DK74" s="97"/>
      <c r="DL74" s="97"/>
      <c r="DM74" s="97"/>
      <c r="DN74" s="97"/>
      <c r="DO74" s="97"/>
      <c r="DP74" s="97"/>
      <c r="DQ74" s="97"/>
      <c r="DR74" s="97"/>
      <c r="DS74" s="97"/>
      <c r="DT74" s="97"/>
      <c r="DU74" s="97"/>
      <c r="DV74" s="97"/>
      <c r="DW74" s="97"/>
      <c r="DX74" s="97"/>
    </row>
    <row r="75" ht="14.25" customHeight="1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  <c r="AG75" s="97"/>
      <c r="AH75" s="97"/>
      <c r="AI75" s="97"/>
      <c r="AJ75" s="97"/>
      <c r="AK75" s="97"/>
      <c r="AL75" s="97"/>
      <c r="AM75" s="97"/>
      <c r="AN75" s="97"/>
      <c r="AO75" s="97"/>
      <c r="AP75" s="97"/>
      <c r="AQ75" s="97"/>
      <c r="AR75" s="97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  <c r="BP75" s="97"/>
      <c r="BQ75" s="97"/>
      <c r="BR75" s="97"/>
      <c r="BS75" s="97"/>
      <c r="BT75" s="97"/>
      <c r="BU75" s="97"/>
      <c r="BV75" s="97"/>
      <c r="BW75" s="97"/>
      <c r="BX75" s="97"/>
      <c r="BY75" s="97"/>
      <c r="BZ75" s="97"/>
      <c r="CA75" s="97"/>
      <c r="CB75" s="97"/>
      <c r="CC75" s="97"/>
      <c r="CD75" s="97"/>
      <c r="CE75" s="97"/>
      <c r="CF75" s="97"/>
      <c r="CG75" s="97"/>
      <c r="CH75" s="97"/>
      <c r="CI75" s="97"/>
      <c r="CJ75" s="97"/>
      <c r="CK75" s="97"/>
      <c r="CL75" s="97"/>
      <c r="CM75" s="97"/>
      <c r="CN75" s="97"/>
      <c r="CO75" s="97"/>
      <c r="CP75" s="97"/>
      <c r="CQ75" s="97"/>
      <c r="CR75" s="97"/>
      <c r="CS75" s="97"/>
      <c r="CT75" s="97"/>
      <c r="CU75" s="97"/>
      <c r="CV75" s="97"/>
      <c r="CW75" s="97"/>
      <c r="CX75" s="97"/>
      <c r="CY75" s="97"/>
      <c r="CZ75" s="97"/>
      <c r="DA75" s="97"/>
      <c r="DB75" s="97"/>
      <c r="DC75" s="97"/>
      <c r="DD75" s="97"/>
      <c r="DE75" s="97"/>
      <c r="DF75" s="97"/>
      <c r="DG75" s="97"/>
      <c r="DH75" s="97"/>
      <c r="DI75" s="97"/>
      <c r="DJ75" s="97"/>
      <c r="DK75" s="97"/>
      <c r="DL75" s="97"/>
      <c r="DM75" s="97"/>
      <c r="DN75" s="97"/>
      <c r="DO75" s="97"/>
      <c r="DP75" s="97"/>
      <c r="DQ75" s="97"/>
      <c r="DR75" s="97"/>
      <c r="DS75" s="97"/>
      <c r="DT75" s="97"/>
      <c r="DU75" s="97"/>
      <c r="DV75" s="97"/>
      <c r="DW75" s="97"/>
      <c r="DX75" s="97"/>
    </row>
    <row r="76" ht="14.25" customHeight="1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7"/>
      <c r="AE76" s="97"/>
      <c r="AF76" s="97"/>
      <c r="AG76" s="97"/>
      <c r="AH76" s="97"/>
      <c r="AI76" s="97"/>
      <c r="AJ76" s="97"/>
      <c r="AK76" s="97"/>
      <c r="AL76" s="97"/>
      <c r="AM76" s="97"/>
      <c r="AN76" s="97"/>
      <c r="AO76" s="97"/>
      <c r="AP76" s="97"/>
      <c r="AQ76" s="97"/>
      <c r="AR76" s="97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  <c r="BP76" s="97"/>
      <c r="BQ76" s="97"/>
      <c r="BR76" s="97"/>
      <c r="BS76" s="97"/>
      <c r="BT76" s="97"/>
      <c r="BU76" s="97"/>
      <c r="BV76" s="97"/>
      <c r="BW76" s="97"/>
      <c r="BX76" s="97"/>
      <c r="BY76" s="97"/>
      <c r="BZ76" s="97"/>
      <c r="CA76" s="97"/>
      <c r="CB76" s="97"/>
      <c r="CC76" s="97"/>
      <c r="CD76" s="97"/>
      <c r="CE76" s="97"/>
      <c r="CF76" s="97"/>
      <c r="CG76" s="97"/>
      <c r="CH76" s="97"/>
      <c r="CI76" s="97"/>
      <c r="CJ76" s="97"/>
      <c r="CK76" s="97"/>
      <c r="CL76" s="97"/>
      <c r="CM76" s="97"/>
      <c r="CN76" s="97"/>
      <c r="CO76" s="97"/>
      <c r="CP76" s="97"/>
      <c r="CQ76" s="97"/>
      <c r="CR76" s="97"/>
      <c r="CS76" s="97"/>
      <c r="CT76" s="97"/>
      <c r="CU76" s="97"/>
      <c r="CV76" s="97"/>
      <c r="CW76" s="97"/>
      <c r="CX76" s="97"/>
      <c r="CY76" s="97"/>
      <c r="CZ76" s="97"/>
      <c r="DA76" s="97"/>
      <c r="DB76" s="97"/>
      <c r="DC76" s="97"/>
      <c r="DD76" s="97"/>
      <c r="DE76" s="97"/>
      <c r="DF76" s="97"/>
      <c r="DG76" s="97"/>
      <c r="DH76" s="97"/>
      <c r="DI76" s="97"/>
      <c r="DJ76" s="97"/>
      <c r="DK76" s="97"/>
      <c r="DL76" s="97"/>
      <c r="DM76" s="97"/>
      <c r="DN76" s="97"/>
      <c r="DO76" s="97"/>
      <c r="DP76" s="97"/>
      <c r="DQ76" s="97"/>
      <c r="DR76" s="97"/>
      <c r="DS76" s="97"/>
      <c r="DT76" s="97"/>
      <c r="DU76" s="97"/>
      <c r="DV76" s="97"/>
      <c r="DW76" s="97"/>
      <c r="DX76" s="97"/>
    </row>
    <row r="77" ht="14.25" customHeight="1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  <c r="AB77" s="97"/>
      <c r="AC77" s="97"/>
      <c r="AD77" s="97"/>
      <c r="AE77" s="97"/>
      <c r="AF77" s="97"/>
      <c r="AG77" s="97"/>
      <c r="AH77" s="97"/>
      <c r="AI77" s="97"/>
      <c r="AJ77" s="97"/>
      <c r="AK77" s="97"/>
      <c r="AL77" s="97"/>
      <c r="AM77" s="97"/>
      <c r="AN77" s="97"/>
      <c r="AO77" s="97"/>
      <c r="AP77" s="97"/>
      <c r="AQ77" s="97"/>
      <c r="AR77" s="97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  <c r="BP77" s="97"/>
      <c r="BQ77" s="97"/>
      <c r="BR77" s="97"/>
      <c r="BS77" s="97"/>
      <c r="BT77" s="97"/>
      <c r="BU77" s="97"/>
      <c r="BV77" s="97"/>
      <c r="BW77" s="97"/>
      <c r="BX77" s="97"/>
      <c r="BY77" s="97"/>
      <c r="BZ77" s="97"/>
      <c r="CA77" s="97"/>
      <c r="CB77" s="97"/>
      <c r="CC77" s="97"/>
      <c r="CD77" s="97"/>
      <c r="CE77" s="97"/>
      <c r="CF77" s="97"/>
      <c r="CG77" s="97"/>
      <c r="CH77" s="97"/>
      <c r="CI77" s="97"/>
      <c r="CJ77" s="97"/>
      <c r="CK77" s="97"/>
      <c r="CL77" s="97"/>
      <c r="CM77" s="97"/>
      <c r="CN77" s="97"/>
      <c r="CO77" s="97"/>
      <c r="CP77" s="97"/>
      <c r="CQ77" s="97"/>
      <c r="CR77" s="97"/>
      <c r="CS77" s="97"/>
      <c r="CT77" s="97"/>
      <c r="CU77" s="97"/>
      <c r="CV77" s="97"/>
      <c r="CW77" s="97"/>
      <c r="CX77" s="97"/>
      <c r="CY77" s="97"/>
      <c r="CZ77" s="97"/>
      <c r="DA77" s="97"/>
      <c r="DB77" s="97"/>
      <c r="DC77" s="97"/>
      <c r="DD77" s="97"/>
      <c r="DE77" s="97"/>
      <c r="DF77" s="97"/>
      <c r="DG77" s="97"/>
      <c r="DH77" s="97"/>
      <c r="DI77" s="97"/>
      <c r="DJ77" s="97"/>
      <c r="DK77" s="97"/>
      <c r="DL77" s="97"/>
      <c r="DM77" s="97"/>
      <c r="DN77" s="97"/>
      <c r="DO77" s="97"/>
      <c r="DP77" s="97"/>
      <c r="DQ77" s="97"/>
      <c r="DR77" s="97"/>
      <c r="DS77" s="97"/>
      <c r="DT77" s="97"/>
      <c r="DU77" s="97"/>
      <c r="DV77" s="97"/>
      <c r="DW77" s="97"/>
      <c r="DX77" s="97"/>
    </row>
    <row r="78" ht="14.25" customHeight="1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97"/>
      <c r="AD78" s="97"/>
      <c r="AE78" s="97"/>
      <c r="AF78" s="97"/>
      <c r="AG78" s="97"/>
      <c r="AH78" s="97"/>
      <c r="AI78" s="97"/>
      <c r="AJ78" s="97"/>
      <c r="AK78" s="97"/>
      <c r="AL78" s="97"/>
      <c r="AM78" s="97"/>
      <c r="AN78" s="97"/>
      <c r="AO78" s="97"/>
      <c r="AP78" s="97"/>
      <c r="AQ78" s="97"/>
      <c r="AR78" s="97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  <c r="BP78" s="97"/>
      <c r="BQ78" s="97"/>
      <c r="BR78" s="97"/>
      <c r="BS78" s="97"/>
      <c r="BT78" s="97"/>
      <c r="BU78" s="97"/>
      <c r="BV78" s="97"/>
      <c r="BW78" s="97"/>
      <c r="BX78" s="97"/>
      <c r="BY78" s="97"/>
      <c r="BZ78" s="97"/>
      <c r="CA78" s="97"/>
      <c r="CB78" s="97"/>
      <c r="CC78" s="97"/>
      <c r="CD78" s="97"/>
      <c r="CE78" s="97"/>
      <c r="CF78" s="97"/>
      <c r="CG78" s="97"/>
      <c r="CH78" s="97"/>
      <c r="CI78" s="97"/>
      <c r="CJ78" s="97"/>
      <c r="CK78" s="97"/>
      <c r="CL78" s="97"/>
      <c r="CM78" s="97"/>
      <c r="CN78" s="97"/>
      <c r="CO78" s="97"/>
      <c r="CP78" s="97"/>
      <c r="CQ78" s="97"/>
      <c r="CR78" s="97"/>
      <c r="CS78" s="97"/>
      <c r="CT78" s="97"/>
      <c r="CU78" s="97"/>
      <c r="CV78" s="97"/>
      <c r="CW78" s="97"/>
      <c r="CX78" s="97"/>
      <c r="CY78" s="97"/>
      <c r="CZ78" s="97"/>
      <c r="DA78" s="97"/>
      <c r="DB78" s="97"/>
      <c r="DC78" s="97"/>
      <c r="DD78" s="97"/>
      <c r="DE78" s="97"/>
      <c r="DF78" s="97"/>
      <c r="DG78" s="97"/>
      <c r="DH78" s="97"/>
      <c r="DI78" s="97"/>
      <c r="DJ78" s="97"/>
      <c r="DK78" s="97"/>
      <c r="DL78" s="97"/>
      <c r="DM78" s="97"/>
      <c r="DN78" s="97"/>
      <c r="DO78" s="97"/>
      <c r="DP78" s="97"/>
      <c r="DQ78" s="97"/>
      <c r="DR78" s="97"/>
      <c r="DS78" s="97"/>
      <c r="DT78" s="97"/>
      <c r="DU78" s="97"/>
      <c r="DV78" s="97"/>
      <c r="DW78" s="97"/>
      <c r="DX78" s="97"/>
    </row>
    <row r="79" ht="14.25" customHeight="1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97"/>
      <c r="AD79" s="97"/>
      <c r="AE79" s="97"/>
      <c r="AF79" s="97"/>
      <c r="AG79" s="97"/>
      <c r="AH79" s="97"/>
      <c r="AI79" s="97"/>
      <c r="AJ79" s="97"/>
      <c r="AK79" s="97"/>
      <c r="AL79" s="97"/>
      <c r="AM79" s="97"/>
      <c r="AN79" s="97"/>
      <c r="AO79" s="97"/>
      <c r="AP79" s="97"/>
      <c r="AQ79" s="97"/>
      <c r="AR79" s="97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  <c r="BP79" s="97"/>
      <c r="BQ79" s="97"/>
      <c r="BR79" s="97"/>
      <c r="BS79" s="97"/>
      <c r="BT79" s="97"/>
      <c r="BU79" s="97"/>
      <c r="BV79" s="97"/>
      <c r="BW79" s="97"/>
      <c r="BX79" s="97"/>
      <c r="BY79" s="97"/>
      <c r="BZ79" s="97"/>
      <c r="CA79" s="97"/>
      <c r="CB79" s="97"/>
      <c r="CC79" s="97"/>
      <c r="CD79" s="97"/>
      <c r="CE79" s="97"/>
      <c r="CF79" s="97"/>
      <c r="CG79" s="97"/>
      <c r="CH79" s="97"/>
      <c r="CI79" s="97"/>
      <c r="CJ79" s="97"/>
      <c r="CK79" s="97"/>
      <c r="CL79" s="97"/>
      <c r="CM79" s="97"/>
      <c r="CN79" s="97"/>
      <c r="CO79" s="97"/>
      <c r="CP79" s="97"/>
      <c r="CQ79" s="97"/>
      <c r="CR79" s="97"/>
      <c r="CS79" s="97"/>
      <c r="CT79" s="97"/>
      <c r="CU79" s="97"/>
      <c r="CV79" s="97"/>
      <c r="CW79" s="97"/>
      <c r="CX79" s="97"/>
      <c r="CY79" s="97"/>
      <c r="CZ79" s="97"/>
      <c r="DA79" s="97"/>
      <c r="DB79" s="97"/>
      <c r="DC79" s="97"/>
      <c r="DD79" s="97"/>
      <c r="DE79" s="97"/>
      <c r="DF79" s="97"/>
      <c r="DG79" s="97"/>
      <c r="DH79" s="97"/>
      <c r="DI79" s="97"/>
      <c r="DJ79" s="97"/>
      <c r="DK79" s="97"/>
      <c r="DL79" s="97"/>
      <c r="DM79" s="97"/>
      <c r="DN79" s="97"/>
      <c r="DO79" s="97"/>
      <c r="DP79" s="97"/>
      <c r="DQ79" s="97"/>
      <c r="DR79" s="97"/>
      <c r="DS79" s="97"/>
      <c r="DT79" s="97"/>
      <c r="DU79" s="97"/>
      <c r="DV79" s="97"/>
      <c r="DW79" s="97"/>
      <c r="DX79" s="97"/>
    </row>
    <row r="80" ht="14.25" customHeight="1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  <c r="AD80" s="97"/>
      <c r="AE80" s="97"/>
      <c r="AF80" s="97"/>
      <c r="AG80" s="97"/>
      <c r="AH80" s="97"/>
      <c r="AI80" s="97"/>
      <c r="AJ80" s="97"/>
      <c r="AK80" s="97"/>
      <c r="AL80" s="97"/>
      <c r="AM80" s="97"/>
      <c r="AN80" s="97"/>
      <c r="AO80" s="97"/>
      <c r="AP80" s="97"/>
      <c r="AQ80" s="97"/>
      <c r="AR80" s="97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  <c r="BP80" s="97"/>
      <c r="BQ80" s="97"/>
      <c r="BR80" s="97"/>
      <c r="BS80" s="97"/>
      <c r="BT80" s="97"/>
      <c r="BU80" s="97"/>
      <c r="BV80" s="97"/>
      <c r="BW80" s="97"/>
      <c r="BX80" s="97"/>
      <c r="BY80" s="97"/>
      <c r="BZ80" s="97"/>
      <c r="CA80" s="97"/>
      <c r="CB80" s="97"/>
      <c r="CC80" s="97"/>
      <c r="CD80" s="97"/>
      <c r="CE80" s="97"/>
      <c r="CF80" s="97"/>
      <c r="CG80" s="97"/>
      <c r="CH80" s="97"/>
      <c r="CI80" s="97"/>
      <c r="CJ80" s="97"/>
      <c r="CK80" s="97"/>
      <c r="CL80" s="97"/>
      <c r="CM80" s="97"/>
      <c r="CN80" s="97"/>
      <c r="CO80" s="97"/>
      <c r="CP80" s="97"/>
      <c r="CQ80" s="97"/>
      <c r="CR80" s="97"/>
      <c r="CS80" s="97"/>
      <c r="CT80" s="97"/>
      <c r="CU80" s="97"/>
      <c r="CV80" s="97"/>
      <c r="CW80" s="97"/>
      <c r="CX80" s="97"/>
      <c r="CY80" s="97"/>
      <c r="CZ80" s="97"/>
      <c r="DA80" s="97"/>
      <c r="DB80" s="97"/>
      <c r="DC80" s="97"/>
      <c r="DD80" s="97"/>
      <c r="DE80" s="97"/>
      <c r="DF80" s="97"/>
      <c r="DG80" s="97"/>
      <c r="DH80" s="97"/>
      <c r="DI80" s="97"/>
      <c r="DJ80" s="97"/>
      <c r="DK80" s="97"/>
      <c r="DL80" s="97"/>
      <c r="DM80" s="97"/>
      <c r="DN80" s="97"/>
      <c r="DO80" s="97"/>
      <c r="DP80" s="97"/>
      <c r="DQ80" s="97"/>
      <c r="DR80" s="97"/>
      <c r="DS80" s="97"/>
      <c r="DT80" s="97"/>
      <c r="DU80" s="97"/>
      <c r="DV80" s="97"/>
      <c r="DW80" s="97"/>
      <c r="DX80" s="97"/>
    </row>
    <row r="81" ht="14.25" customHeight="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97"/>
      <c r="AD81" s="97"/>
      <c r="AE81" s="97"/>
      <c r="AF81" s="97"/>
      <c r="AG81" s="97"/>
      <c r="AH81" s="97"/>
      <c r="AI81" s="97"/>
      <c r="AJ81" s="97"/>
      <c r="AK81" s="97"/>
      <c r="AL81" s="97"/>
      <c r="AM81" s="97"/>
      <c r="AN81" s="97"/>
      <c r="AO81" s="97"/>
      <c r="AP81" s="97"/>
      <c r="AQ81" s="97"/>
      <c r="AR81" s="97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  <c r="BP81" s="97"/>
      <c r="BQ81" s="97"/>
      <c r="BR81" s="97"/>
      <c r="BS81" s="97"/>
      <c r="BT81" s="97"/>
      <c r="BU81" s="97"/>
      <c r="BV81" s="97"/>
      <c r="BW81" s="97"/>
      <c r="BX81" s="97"/>
      <c r="BY81" s="97"/>
      <c r="BZ81" s="97"/>
      <c r="CA81" s="97"/>
      <c r="CB81" s="97"/>
      <c r="CC81" s="97"/>
      <c r="CD81" s="97"/>
      <c r="CE81" s="97"/>
      <c r="CF81" s="97"/>
      <c r="CG81" s="97"/>
      <c r="CH81" s="97"/>
      <c r="CI81" s="97"/>
      <c r="CJ81" s="97"/>
      <c r="CK81" s="97"/>
      <c r="CL81" s="97"/>
      <c r="CM81" s="97"/>
      <c r="CN81" s="97"/>
      <c r="CO81" s="97"/>
      <c r="CP81" s="97"/>
      <c r="CQ81" s="97"/>
      <c r="CR81" s="97"/>
      <c r="CS81" s="97"/>
      <c r="CT81" s="97"/>
      <c r="CU81" s="97"/>
      <c r="CV81" s="97"/>
      <c r="CW81" s="97"/>
      <c r="CX81" s="97"/>
      <c r="CY81" s="97"/>
      <c r="CZ81" s="97"/>
      <c r="DA81" s="97"/>
      <c r="DB81" s="97"/>
      <c r="DC81" s="97"/>
      <c r="DD81" s="97"/>
      <c r="DE81" s="97"/>
      <c r="DF81" s="97"/>
      <c r="DG81" s="97"/>
      <c r="DH81" s="97"/>
      <c r="DI81" s="97"/>
      <c r="DJ81" s="97"/>
      <c r="DK81" s="97"/>
      <c r="DL81" s="97"/>
      <c r="DM81" s="97"/>
      <c r="DN81" s="97"/>
      <c r="DO81" s="97"/>
      <c r="DP81" s="97"/>
      <c r="DQ81" s="97"/>
      <c r="DR81" s="97"/>
      <c r="DS81" s="97"/>
      <c r="DT81" s="97"/>
      <c r="DU81" s="97"/>
      <c r="DV81" s="97"/>
      <c r="DW81" s="97"/>
      <c r="DX81" s="97"/>
    </row>
    <row r="82" ht="14.25" customHeight="1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  <c r="AB82" s="97"/>
      <c r="AC82" s="97"/>
      <c r="AD82" s="97"/>
      <c r="AE82" s="97"/>
      <c r="AF82" s="97"/>
      <c r="AG82" s="97"/>
      <c r="AH82" s="97"/>
      <c r="AI82" s="97"/>
      <c r="AJ82" s="97"/>
      <c r="AK82" s="97"/>
      <c r="AL82" s="97"/>
      <c r="AM82" s="97"/>
      <c r="AN82" s="97"/>
      <c r="AO82" s="97"/>
      <c r="AP82" s="97"/>
      <c r="AQ82" s="97"/>
      <c r="AR82" s="97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  <c r="BP82" s="97"/>
      <c r="BQ82" s="97"/>
      <c r="BR82" s="97"/>
      <c r="BS82" s="97"/>
      <c r="BT82" s="97"/>
      <c r="BU82" s="97"/>
      <c r="BV82" s="97"/>
      <c r="BW82" s="97"/>
      <c r="BX82" s="97"/>
      <c r="BY82" s="97"/>
      <c r="BZ82" s="97"/>
      <c r="CA82" s="97"/>
      <c r="CB82" s="97"/>
      <c r="CC82" s="97"/>
      <c r="CD82" s="97"/>
      <c r="CE82" s="97"/>
      <c r="CF82" s="97"/>
      <c r="CG82" s="97"/>
      <c r="CH82" s="97"/>
      <c r="CI82" s="97"/>
      <c r="CJ82" s="97"/>
      <c r="CK82" s="97"/>
      <c r="CL82" s="97"/>
      <c r="CM82" s="97"/>
      <c r="CN82" s="97"/>
      <c r="CO82" s="97"/>
      <c r="CP82" s="97"/>
      <c r="CQ82" s="97"/>
      <c r="CR82" s="97"/>
      <c r="CS82" s="97"/>
      <c r="CT82" s="97"/>
      <c r="CU82" s="97"/>
      <c r="CV82" s="97"/>
      <c r="CW82" s="97"/>
      <c r="CX82" s="97"/>
      <c r="CY82" s="97"/>
      <c r="CZ82" s="97"/>
      <c r="DA82" s="97"/>
      <c r="DB82" s="97"/>
      <c r="DC82" s="97"/>
      <c r="DD82" s="97"/>
      <c r="DE82" s="97"/>
      <c r="DF82" s="97"/>
      <c r="DG82" s="97"/>
      <c r="DH82" s="97"/>
      <c r="DI82" s="97"/>
      <c r="DJ82" s="97"/>
      <c r="DK82" s="97"/>
      <c r="DL82" s="97"/>
      <c r="DM82" s="97"/>
      <c r="DN82" s="97"/>
      <c r="DO82" s="97"/>
      <c r="DP82" s="97"/>
      <c r="DQ82" s="97"/>
      <c r="DR82" s="97"/>
      <c r="DS82" s="97"/>
      <c r="DT82" s="97"/>
      <c r="DU82" s="97"/>
      <c r="DV82" s="97"/>
      <c r="DW82" s="97"/>
      <c r="DX82" s="97"/>
    </row>
    <row r="83" ht="14.25" customHeight="1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7"/>
      <c r="AG83" s="97"/>
      <c r="AH83" s="97"/>
      <c r="AI83" s="97"/>
      <c r="AJ83" s="97"/>
      <c r="AK83" s="97"/>
      <c r="AL83" s="97"/>
      <c r="AM83" s="97"/>
      <c r="AN83" s="97"/>
      <c r="AO83" s="97"/>
      <c r="AP83" s="97"/>
      <c r="AQ83" s="97"/>
      <c r="AR83" s="97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  <c r="BP83" s="97"/>
      <c r="BQ83" s="97"/>
      <c r="BR83" s="97"/>
      <c r="BS83" s="97"/>
      <c r="BT83" s="97"/>
      <c r="BU83" s="97"/>
      <c r="BV83" s="97"/>
      <c r="BW83" s="97"/>
      <c r="BX83" s="97"/>
      <c r="BY83" s="97"/>
      <c r="BZ83" s="97"/>
      <c r="CA83" s="97"/>
      <c r="CB83" s="97"/>
      <c r="CC83" s="97"/>
      <c r="CD83" s="97"/>
      <c r="CE83" s="97"/>
      <c r="CF83" s="97"/>
      <c r="CG83" s="97"/>
      <c r="CH83" s="97"/>
      <c r="CI83" s="97"/>
      <c r="CJ83" s="97"/>
      <c r="CK83" s="97"/>
      <c r="CL83" s="97"/>
      <c r="CM83" s="97"/>
      <c r="CN83" s="97"/>
      <c r="CO83" s="97"/>
      <c r="CP83" s="97"/>
      <c r="CQ83" s="97"/>
      <c r="CR83" s="97"/>
      <c r="CS83" s="97"/>
      <c r="CT83" s="97"/>
      <c r="CU83" s="97"/>
      <c r="CV83" s="97"/>
      <c r="CW83" s="97"/>
      <c r="CX83" s="97"/>
      <c r="CY83" s="97"/>
      <c r="CZ83" s="97"/>
      <c r="DA83" s="97"/>
      <c r="DB83" s="97"/>
      <c r="DC83" s="97"/>
      <c r="DD83" s="97"/>
      <c r="DE83" s="97"/>
      <c r="DF83" s="97"/>
      <c r="DG83" s="97"/>
      <c r="DH83" s="97"/>
      <c r="DI83" s="97"/>
      <c r="DJ83" s="97"/>
      <c r="DK83" s="97"/>
      <c r="DL83" s="97"/>
      <c r="DM83" s="97"/>
      <c r="DN83" s="97"/>
      <c r="DO83" s="97"/>
      <c r="DP83" s="97"/>
      <c r="DQ83" s="97"/>
      <c r="DR83" s="97"/>
      <c r="DS83" s="97"/>
      <c r="DT83" s="97"/>
      <c r="DU83" s="97"/>
      <c r="DV83" s="97"/>
      <c r="DW83" s="97"/>
      <c r="DX83" s="97"/>
    </row>
    <row r="84" ht="14.25" customHeight="1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97"/>
      <c r="AC84" s="97"/>
      <c r="AD84" s="97"/>
      <c r="AE84" s="97"/>
      <c r="AF84" s="97"/>
      <c r="AG84" s="97"/>
      <c r="AH84" s="97"/>
      <c r="AI84" s="97"/>
      <c r="AJ84" s="97"/>
      <c r="AK84" s="97"/>
      <c r="AL84" s="97"/>
      <c r="AM84" s="97"/>
      <c r="AN84" s="97"/>
      <c r="AO84" s="97"/>
      <c r="AP84" s="97"/>
      <c r="AQ84" s="97"/>
      <c r="AR84" s="97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  <c r="BP84" s="97"/>
      <c r="BQ84" s="97"/>
      <c r="BR84" s="97"/>
      <c r="BS84" s="97"/>
      <c r="BT84" s="97"/>
      <c r="BU84" s="97"/>
      <c r="BV84" s="97"/>
      <c r="BW84" s="97"/>
      <c r="BX84" s="97"/>
      <c r="BY84" s="97"/>
      <c r="BZ84" s="97"/>
      <c r="CA84" s="97"/>
      <c r="CB84" s="97"/>
      <c r="CC84" s="97"/>
      <c r="CD84" s="97"/>
      <c r="CE84" s="97"/>
      <c r="CF84" s="97"/>
      <c r="CG84" s="97"/>
      <c r="CH84" s="97"/>
      <c r="CI84" s="97"/>
      <c r="CJ84" s="97"/>
      <c r="CK84" s="97"/>
      <c r="CL84" s="97"/>
      <c r="CM84" s="97"/>
      <c r="CN84" s="97"/>
      <c r="CO84" s="97"/>
      <c r="CP84" s="97"/>
      <c r="CQ84" s="97"/>
      <c r="CR84" s="97"/>
      <c r="CS84" s="97"/>
      <c r="CT84" s="97"/>
      <c r="CU84" s="97"/>
      <c r="CV84" s="97"/>
      <c r="CW84" s="97"/>
      <c r="CX84" s="97"/>
      <c r="CY84" s="97"/>
      <c r="CZ84" s="97"/>
      <c r="DA84" s="97"/>
      <c r="DB84" s="97"/>
      <c r="DC84" s="97"/>
      <c r="DD84" s="97"/>
      <c r="DE84" s="97"/>
      <c r="DF84" s="97"/>
      <c r="DG84" s="97"/>
      <c r="DH84" s="97"/>
      <c r="DI84" s="97"/>
      <c r="DJ84" s="97"/>
      <c r="DK84" s="97"/>
      <c r="DL84" s="97"/>
      <c r="DM84" s="97"/>
      <c r="DN84" s="97"/>
      <c r="DO84" s="97"/>
      <c r="DP84" s="97"/>
      <c r="DQ84" s="97"/>
      <c r="DR84" s="97"/>
      <c r="DS84" s="97"/>
      <c r="DT84" s="97"/>
      <c r="DU84" s="97"/>
      <c r="DV84" s="97"/>
      <c r="DW84" s="97"/>
      <c r="DX84" s="97"/>
    </row>
    <row r="85" ht="14.25" customHeight="1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  <c r="AB85" s="97"/>
      <c r="AC85" s="97"/>
      <c r="AD85" s="97"/>
      <c r="AE85" s="97"/>
      <c r="AF85" s="97"/>
      <c r="AG85" s="97"/>
      <c r="AH85" s="97"/>
      <c r="AI85" s="97"/>
      <c r="AJ85" s="97"/>
      <c r="AK85" s="97"/>
      <c r="AL85" s="97"/>
      <c r="AM85" s="97"/>
      <c r="AN85" s="97"/>
      <c r="AO85" s="97"/>
      <c r="AP85" s="97"/>
      <c r="AQ85" s="97"/>
      <c r="AR85" s="97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  <c r="BP85" s="97"/>
      <c r="BQ85" s="97"/>
      <c r="BR85" s="97"/>
      <c r="BS85" s="97"/>
      <c r="BT85" s="97"/>
      <c r="BU85" s="97"/>
      <c r="BV85" s="97"/>
      <c r="BW85" s="97"/>
      <c r="BX85" s="97"/>
      <c r="BY85" s="97"/>
      <c r="BZ85" s="97"/>
      <c r="CA85" s="97"/>
      <c r="CB85" s="97"/>
      <c r="CC85" s="97"/>
      <c r="CD85" s="97"/>
      <c r="CE85" s="97"/>
      <c r="CF85" s="97"/>
      <c r="CG85" s="97"/>
      <c r="CH85" s="97"/>
      <c r="CI85" s="97"/>
      <c r="CJ85" s="97"/>
      <c r="CK85" s="97"/>
      <c r="CL85" s="97"/>
      <c r="CM85" s="97"/>
      <c r="CN85" s="97"/>
      <c r="CO85" s="97"/>
      <c r="CP85" s="97"/>
      <c r="CQ85" s="97"/>
      <c r="CR85" s="97"/>
      <c r="CS85" s="97"/>
      <c r="CT85" s="97"/>
      <c r="CU85" s="97"/>
      <c r="CV85" s="97"/>
      <c r="CW85" s="97"/>
      <c r="CX85" s="97"/>
      <c r="CY85" s="97"/>
      <c r="CZ85" s="97"/>
      <c r="DA85" s="97"/>
      <c r="DB85" s="97"/>
      <c r="DC85" s="97"/>
      <c r="DD85" s="97"/>
      <c r="DE85" s="97"/>
      <c r="DF85" s="97"/>
      <c r="DG85" s="97"/>
      <c r="DH85" s="97"/>
      <c r="DI85" s="97"/>
      <c r="DJ85" s="97"/>
      <c r="DK85" s="97"/>
      <c r="DL85" s="97"/>
      <c r="DM85" s="97"/>
      <c r="DN85" s="97"/>
      <c r="DO85" s="97"/>
      <c r="DP85" s="97"/>
      <c r="DQ85" s="97"/>
      <c r="DR85" s="97"/>
      <c r="DS85" s="97"/>
      <c r="DT85" s="97"/>
      <c r="DU85" s="97"/>
      <c r="DV85" s="97"/>
      <c r="DW85" s="97"/>
      <c r="DX85" s="97"/>
    </row>
    <row r="86" ht="14.25" customHeight="1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7"/>
      <c r="AH86" s="97"/>
      <c r="AI86" s="97"/>
      <c r="AJ86" s="97"/>
      <c r="AK86" s="97"/>
      <c r="AL86" s="97"/>
      <c r="AM86" s="97"/>
      <c r="AN86" s="97"/>
      <c r="AO86" s="97"/>
      <c r="AP86" s="97"/>
      <c r="AQ86" s="97"/>
      <c r="AR86" s="97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  <c r="BP86" s="97"/>
      <c r="BQ86" s="97"/>
      <c r="BR86" s="97"/>
      <c r="BS86" s="97"/>
      <c r="BT86" s="97"/>
      <c r="BU86" s="97"/>
      <c r="BV86" s="97"/>
      <c r="BW86" s="97"/>
      <c r="BX86" s="97"/>
      <c r="BY86" s="97"/>
      <c r="BZ86" s="97"/>
      <c r="CA86" s="97"/>
      <c r="CB86" s="97"/>
      <c r="CC86" s="97"/>
      <c r="CD86" s="97"/>
      <c r="CE86" s="97"/>
      <c r="CF86" s="97"/>
      <c r="CG86" s="97"/>
      <c r="CH86" s="97"/>
      <c r="CI86" s="97"/>
      <c r="CJ86" s="97"/>
      <c r="CK86" s="97"/>
      <c r="CL86" s="97"/>
      <c r="CM86" s="97"/>
      <c r="CN86" s="97"/>
      <c r="CO86" s="97"/>
      <c r="CP86" s="97"/>
      <c r="CQ86" s="97"/>
      <c r="CR86" s="97"/>
      <c r="CS86" s="97"/>
      <c r="CT86" s="97"/>
      <c r="CU86" s="97"/>
      <c r="CV86" s="97"/>
      <c r="CW86" s="97"/>
      <c r="CX86" s="97"/>
      <c r="CY86" s="97"/>
      <c r="CZ86" s="97"/>
      <c r="DA86" s="97"/>
      <c r="DB86" s="97"/>
      <c r="DC86" s="97"/>
      <c r="DD86" s="97"/>
      <c r="DE86" s="97"/>
      <c r="DF86" s="97"/>
      <c r="DG86" s="97"/>
      <c r="DH86" s="97"/>
      <c r="DI86" s="97"/>
      <c r="DJ86" s="97"/>
      <c r="DK86" s="97"/>
      <c r="DL86" s="97"/>
      <c r="DM86" s="97"/>
      <c r="DN86" s="97"/>
      <c r="DO86" s="97"/>
      <c r="DP86" s="97"/>
      <c r="DQ86" s="97"/>
      <c r="DR86" s="97"/>
      <c r="DS86" s="97"/>
      <c r="DT86" s="97"/>
      <c r="DU86" s="97"/>
      <c r="DV86" s="97"/>
      <c r="DW86" s="97"/>
      <c r="DX86" s="97"/>
    </row>
    <row r="87" ht="14.25" customHeight="1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7"/>
      <c r="AH87" s="97"/>
      <c r="AI87" s="97"/>
      <c r="AJ87" s="97"/>
      <c r="AK87" s="97"/>
      <c r="AL87" s="97"/>
      <c r="AM87" s="97"/>
      <c r="AN87" s="97"/>
      <c r="AO87" s="97"/>
      <c r="AP87" s="97"/>
      <c r="AQ87" s="97"/>
      <c r="AR87" s="97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  <c r="BP87" s="97"/>
      <c r="BQ87" s="97"/>
      <c r="BR87" s="97"/>
      <c r="BS87" s="97"/>
      <c r="BT87" s="97"/>
      <c r="BU87" s="97"/>
      <c r="BV87" s="97"/>
      <c r="BW87" s="97"/>
      <c r="BX87" s="97"/>
      <c r="BY87" s="97"/>
      <c r="BZ87" s="97"/>
      <c r="CA87" s="97"/>
      <c r="CB87" s="97"/>
      <c r="CC87" s="97"/>
      <c r="CD87" s="97"/>
      <c r="CE87" s="97"/>
      <c r="CF87" s="97"/>
      <c r="CG87" s="97"/>
      <c r="CH87" s="97"/>
      <c r="CI87" s="97"/>
      <c r="CJ87" s="97"/>
      <c r="CK87" s="97"/>
      <c r="CL87" s="97"/>
      <c r="CM87" s="97"/>
      <c r="CN87" s="97"/>
      <c r="CO87" s="97"/>
      <c r="CP87" s="97"/>
      <c r="CQ87" s="97"/>
      <c r="CR87" s="97"/>
      <c r="CS87" s="97"/>
      <c r="CT87" s="97"/>
      <c r="CU87" s="97"/>
      <c r="CV87" s="97"/>
      <c r="CW87" s="97"/>
      <c r="CX87" s="97"/>
      <c r="CY87" s="97"/>
      <c r="CZ87" s="97"/>
      <c r="DA87" s="97"/>
      <c r="DB87" s="97"/>
      <c r="DC87" s="97"/>
      <c r="DD87" s="97"/>
      <c r="DE87" s="97"/>
      <c r="DF87" s="97"/>
      <c r="DG87" s="97"/>
      <c r="DH87" s="97"/>
      <c r="DI87" s="97"/>
      <c r="DJ87" s="97"/>
      <c r="DK87" s="97"/>
      <c r="DL87" s="97"/>
      <c r="DM87" s="97"/>
      <c r="DN87" s="97"/>
      <c r="DO87" s="97"/>
      <c r="DP87" s="97"/>
      <c r="DQ87" s="97"/>
      <c r="DR87" s="97"/>
      <c r="DS87" s="97"/>
      <c r="DT87" s="97"/>
      <c r="DU87" s="97"/>
      <c r="DV87" s="97"/>
      <c r="DW87" s="97"/>
      <c r="DX87" s="97"/>
    </row>
    <row r="88" ht="14.25" customHeight="1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7"/>
      <c r="AH88" s="97"/>
      <c r="AI88" s="97"/>
      <c r="AJ88" s="97"/>
      <c r="AK88" s="97"/>
      <c r="AL88" s="97"/>
      <c r="AM88" s="97"/>
      <c r="AN88" s="97"/>
      <c r="AO88" s="97"/>
      <c r="AP88" s="97"/>
      <c r="AQ88" s="97"/>
      <c r="AR88" s="97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  <c r="BP88" s="97"/>
      <c r="BQ88" s="97"/>
      <c r="BR88" s="97"/>
      <c r="BS88" s="97"/>
      <c r="BT88" s="97"/>
      <c r="BU88" s="97"/>
      <c r="BV88" s="97"/>
      <c r="BW88" s="97"/>
      <c r="BX88" s="97"/>
      <c r="BY88" s="97"/>
      <c r="BZ88" s="97"/>
      <c r="CA88" s="97"/>
      <c r="CB88" s="97"/>
      <c r="CC88" s="97"/>
      <c r="CD88" s="97"/>
      <c r="CE88" s="97"/>
      <c r="CF88" s="97"/>
      <c r="CG88" s="97"/>
      <c r="CH88" s="97"/>
      <c r="CI88" s="97"/>
      <c r="CJ88" s="97"/>
      <c r="CK88" s="97"/>
      <c r="CL88" s="97"/>
      <c r="CM88" s="97"/>
      <c r="CN88" s="97"/>
      <c r="CO88" s="97"/>
      <c r="CP88" s="97"/>
      <c r="CQ88" s="97"/>
      <c r="CR88" s="97"/>
      <c r="CS88" s="97"/>
      <c r="CT88" s="97"/>
      <c r="CU88" s="97"/>
      <c r="CV88" s="97"/>
      <c r="CW88" s="97"/>
      <c r="CX88" s="97"/>
      <c r="CY88" s="97"/>
      <c r="CZ88" s="97"/>
      <c r="DA88" s="97"/>
      <c r="DB88" s="97"/>
      <c r="DC88" s="97"/>
      <c r="DD88" s="97"/>
      <c r="DE88" s="97"/>
      <c r="DF88" s="97"/>
      <c r="DG88" s="97"/>
      <c r="DH88" s="97"/>
      <c r="DI88" s="97"/>
      <c r="DJ88" s="97"/>
      <c r="DK88" s="97"/>
      <c r="DL88" s="97"/>
      <c r="DM88" s="97"/>
      <c r="DN88" s="97"/>
      <c r="DO88" s="97"/>
      <c r="DP88" s="97"/>
      <c r="DQ88" s="97"/>
      <c r="DR88" s="97"/>
      <c r="DS88" s="97"/>
      <c r="DT88" s="97"/>
      <c r="DU88" s="97"/>
      <c r="DV88" s="97"/>
      <c r="DW88" s="97"/>
      <c r="DX88" s="97"/>
    </row>
    <row r="89" ht="14.25" customHeight="1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7"/>
      <c r="AH89" s="97"/>
      <c r="AI89" s="97"/>
      <c r="AJ89" s="97"/>
      <c r="AK89" s="97"/>
      <c r="AL89" s="97"/>
      <c r="AM89" s="97"/>
      <c r="AN89" s="97"/>
      <c r="AO89" s="97"/>
      <c r="AP89" s="97"/>
      <c r="AQ89" s="97"/>
      <c r="AR89" s="97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  <c r="BP89" s="97"/>
      <c r="BQ89" s="97"/>
      <c r="BR89" s="97"/>
      <c r="BS89" s="97"/>
      <c r="BT89" s="97"/>
      <c r="BU89" s="97"/>
      <c r="BV89" s="97"/>
      <c r="BW89" s="97"/>
      <c r="BX89" s="97"/>
      <c r="BY89" s="97"/>
      <c r="BZ89" s="97"/>
      <c r="CA89" s="97"/>
      <c r="CB89" s="97"/>
      <c r="CC89" s="97"/>
      <c r="CD89" s="97"/>
      <c r="CE89" s="97"/>
      <c r="CF89" s="97"/>
      <c r="CG89" s="97"/>
      <c r="CH89" s="97"/>
      <c r="CI89" s="97"/>
      <c r="CJ89" s="97"/>
      <c r="CK89" s="97"/>
      <c r="CL89" s="97"/>
      <c r="CM89" s="97"/>
      <c r="CN89" s="97"/>
      <c r="CO89" s="97"/>
      <c r="CP89" s="97"/>
      <c r="CQ89" s="97"/>
      <c r="CR89" s="97"/>
      <c r="CS89" s="97"/>
      <c r="CT89" s="97"/>
      <c r="CU89" s="97"/>
      <c r="CV89" s="97"/>
      <c r="CW89" s="97"/>
      <c r="CX89" s="97"/>
      <c r="CY89" s="97"/>
      <c r="CZ89" s="97"/>
      <c r="DA89" s="97"/>
      <c r="DB89" s="97"/>
      <c r="DC89" s="97"/>
      <c r="DD89" s="97"/>
      <c r="DE89" s="97"/>
      <c r="DF89" s="97"/>
      <c r="DG89" s="97"/>
      <c r="DH89" s="97"/>
      <c r="DI89" s="97"/>
      <c r="DJ89" s="97"/>
      <c r="DK89" s="97"/>
      <c r="DL89" s="97"/>
      <c r="DM89" s="97"/>
      <c r="DN89" s="97"/>
      <c r="DO89" s="97"/>
      <c r="DP89" s="97"/>
      <c r="DQ89" s="97"/>
      <c r="DR89" s="97"/>
      <c r="DS89" s="97"/>
      <c r="DT89" s="97"/>
      <c r="DU89" s="97"/>
      <c r="DV89" s="97"/>
      <c r="DW89" s="97"/>
      <c r="DX89" s="97"/>
    </row>
    <row r="90" ht="14.25" customHeight="1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97"/>
      <c r="AH90" s="97"/>
      <c r="AI90" s="97"/>
      <c r="AJ90" s="97"/>
      <c r="AK90" s="97"/>
      <c r="AL90" s="97"/>
      <c r="AM90" s="97"/>
      <c r="AN90" s="97"/>
      <c r="AO90" s="97"/>
      <c r="AP90" s="97"/>
      <c r="AQ90" s="97"/>
      <c r="AR90" s="97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  <c r="BP90" s="97"/>
      <c r="BQ90" s="97"/>
      <c r="BR90" s="97"/>
      <c r="BS90" s="97"/>
      <c r="BT90" s="97"/>
      <c r="BU90" s="97"/>
      <c r="BV90" s="97"/>
      <c r="BW90" s="97"/>
      <c r="BX90" s="97"/>
      <c r="BY90" s="97"/>
      <c r="BZ90" s="97"/>
      <c r="CA90" s="97"/>
      <c r="CB90" s="97"/>
      <c r="CC90" s="97"/>
      <c r="CD90" s="97"/>
      <c r="CE90" s="97"/>
      <c r="CF90" s="97"/>
      <c r="CG90" s="97"/>
      <c r="CH90" s="97"/>
      <c r="CI90" s="97"/>
      <c r="CJ90" s="97"/>
      <c r="CK90" s="97"/>
      <c r="CL90" s="97"/>
      <c r="CM90" s="97"/>
      <c r="CN90" s="97"/>
      <c r="CO90" s="97"/>
      <c r="CP90" s="97"/>
      <c r="CQ90" s="97"/>
      <c r="CR90" s="97"/>
      <c r="CS90" s="97"/>
      <c r="CT90" s="97"/>
      <c r="CU90" s="97"/>
      <c r="CV90" s="97"/>
      <c r="CW90" s="97"/>
      <c r="CX90" s="97"/>
      <c r="CY90" s="97"/>
      <c r="CZ90" s="97"/>
      <c r="DA90" s="97"/>
      <c r="DB90" s="97"/>
      <c r="DC90" s="97"/>
      <c r="DD90" s="97"/>
      <c r="DE90" s="97"/>
      <c r="DF90" s="97"/>
      <c r="DG90" s="97"/>
      <c r="DH90" s="97"/>
      <c r="DI90" s="97"/>
      <c r="DJ90" s="97"/>
      <c r="DK90" s="97"/>
      <c r="DL90" s="97"/>
      <c r="DM90" s="97"/>
      <c r="DN90" s="97"/>
      <c r="DO90" s="97"/>
      <c r="DP90" s="97"/>
      <c r="DQ90" s="97"/>
      <c r="DR90" s="97"/>
      <c r="DS90" s="97"/>
      <c r="DT90" s="97"/>
      <c r="DU90" s="97"/>
      <c r="DV90" s="97"/>
      <c r="DW90" s="97"/>
      <c r="DX90" s="97"/>
    </row>
    <row r="91" ht="14.25" customHeight="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  <c r="AG91" s="97"/>
      <c r="AH91" s="97"/>
      <c r="AI91" s="97"/>
      <c r="AJ91" s="97"/>
      <c r="AK91" s="97"/>
      <c r="AL91" s="97"/>
      <c r="AM91" s="97"/>
      <c r="AN91" s="97"/>
      <c r="AO91" s="97"/>
      <c r="AP91" s="97"/>
      <c r="AQ91" s="97"/>
      <c r="AR91" s="97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  <c r="BP91" s="97"/>
      <c r="BQ91" s="97"/>
      <c r="BR91" s="97"/>
      <c r="BS91" s="97"/>
      <c r="BT91" s="97"/>
      <c r="BU91" s="97"/>
      <c r="BV91" s="97"/>
      <c r="BW91" s="97"/>
      <c r="BX91" s="97"/>
      <c r="BY91" s="97"/>
      <c r="BZ91" s="97"/>
      <c r="CA91" s="97"/>
      <c r="CB91" s="97"/>
      <c r="CC91" s="97"/>
      <c r="CD91" s="97"/>
      <c r="CE91" s="97"/>
      <c r="CF91" s="97"/>
      <c r="CG91" s="97"/>
      <c r="CH91" s="97"/>
      <c r="CI91" s="97"/>
      <c r="CJ91" s="97"/>
      <c r="CK91" s="97"/>
      <c r="CL91" s="97"/>
      <c r="CM91" s="97"/>
      <c r="CN91" s="97"/>
      <c r="CO91" s="97"/>
      <c r="CP91" s="97"/>
      <c r="CQ91" s="97"/>
      <c r="CR91" s="97"/>
      <c r="CS91" s="97"/>
      <c r="CT91" s="97"/>
      <c r="CU91" s="97"/>
      <c r="CV91" s="97"/>
      <c r="CW91" s="97"/>
      <c r="CX91" s="97"/>
      <c r="CY91" s="97"/>
      <c r="CZ91" s="97"/>
      <c r="DA91" s="97"/>
      <c r="DB91" s="97"/>
      <c r="DC91" s="97"/>
      <c r="DD91" s="97"/>
      <c r="DE91" s="97"/>
      <c r="DF91" s="97"/>
      <c r="DG91" s="97"/>
      <c r="DH91" s="97"/>
      <c r="DI91" s="97"/>
      <c r="DJ91" s="97"/>
      <c r="DK91" s="97"/>
      <c r="DL91" s="97"/>
      <c r="DM91" s="97"/>
      <c r="DN91" s="97"/>
      <c r="DO91" s="97"/>
      <c r="DP91" s="97"/>
      <c r="DQ91" s="97"/>
      <c r="DR91" s="97"/>
      <c r="DS91" s="97"/>
      <c r="DT91" s="97"/>
      <c r="DU91" s="97"/>
      <c r="DV91" s="97"/>
      <c r="DW91" s="97"/>
      <c r="DX91" s="97"/>
    </row>
    <row r="92" ht="14.25" customHeight="1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97"/>
      <c r="AD92" s="97"/>
      <c r="AE92" s="97"/>
      <c r="AF92" s="97"/>
      <c r="AG92" s="97"/>
      <c r="AH92" s="97"/>
      <c r="AI92" s="97"/>
      <c r="AJ92" s="97"/>
      <c r="AK92" s="97"/>
      <c r="AL92" s="97"/>
      <c r="AM92" s="97"/>
      <c r="AN92" s="97"/>
      <c r="AO92" s="97"/>
      <c r="AP92" s="97"/>
      <c r="AQ92" s="97"/>
      <c r="AR92" s="97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  <c r="BP92" s="97"/>
      <c r="BQ92" s="97"/>
      <c r="BR92" s="97"/>
      <c r="BS92" s="97"/>
      <c r="BT92" s="97"/>
      <c r="BU92" s="97"/>
      <c r="BV92" s="97"/>
      <c r="BW92" s="97"/>
      <c r="BX92" s="97"/>
      <c r="BY92" s="97"/>
      <c r="BZ92" s="97"/>
      <c r="CA92" s="97"/>
      <c r="CB92" s="97"/>
      <c r="CC92" s="97"/>
      <c r="CD92" s="97"/>
      <c r="CE92" s="97"/>
      <c r="CF92" s="97"/>
      <c r="CG92" s="97"/>
      <c r="CH92" s="97"/>
      <c r="CI92" s="97"/>
      <c r="CJ92" s="97"/>
      <c r="CK92" s="97"/>
      <c r="CL92" s="97"/>
      <c r="CM92" s="97"/>
      <c r="CN92" s="97"/>
      <c r="CO92" s="97"/>
      <c r="CP92" s="97"/>
      <c r="CQ92" s="97"/>
      <c r="CR92" s="97"/>
      <c r="CS92" s="97"/>
      <c r="CT92" s="97"/>
      <c r="CU92" s="97"/>
      <c r="CV92" s="97"/>
      <c r="CW92" s="97"/>
      <c r="CX92" s="97"/>
      <c r="CY92" s="97"/>
      <c r="CZ92" s="97"/>
      <c r="DA92" s="97"/>
      <c r="DB92" s="97"/>
      <c r="DC92" s="97"/>
      <c r="DD92" s="97"/>
      <c r="DE92" s="97"/>
      <c r="DF92" s="97"/>
      <c r="DG92" s="97"/>
      <c r="DH92" s="97"/>
      <c r="DI92" s="97"/>
      <c r="DJ92" s="97"/>
      <c r="DK92" s="97"/>
      <c r="DL92" s="97"/>
      <c r="DM92" s="97"/>
      <c r="DN92" s="97"/>
      <c r="DO92" s="97"/>
      <c r="DP92" s="97"/>
      <c r="DQ92" s="97"/>
      <c r="DR92" s="97"/>
      <c r="DS92" s="97"/>
      <c r="DT92" s="97"/>
      <c r="DU92" s="97"/>
      <c r="DV92" s="97"/>
      <c r="DW92" s="97"/>
      <c r="DX92" s="97"/>
    </row>
    <row r="93" ht="14.25" customHeight="1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  <c r="AB93" s="97"/>
      <c r="AC93" s="97"/>
      <c r="AD93" s="97"/>
      <c r="AE93" s="97"/>
      <c r="AF93" s="97"/>
      <c r="AG93" s="97"/>
      <c r="AH93" s="97"/>
      <c r="AI93" s="97"/>
      <c r="AJ93" s="97"/>
      <c r="AK93" s="97"/>
      <c r="AL93" s="97"/>
      <c r="AM93" s="97"/>
      <c r="AN93" s="97"/>
      <c r="AO93" s="97"/>
      <c r="AP93" s="97"/>
      <c r="AQ93" s="97"/>
      <c r="AR93" s="97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  <c r="BP93" s="97"/>
      <c r="BQ93" s="97"/>
      <c r="BR93" s="97"/>
      <c r="BS93" s="97"/>
      <c r="BT93" s="97"/>
      <c r="BU93" s="97"/>
      <c r="BV93" s="97"/>
      <c r="BW93" s="97"/>
      <c r="BX93" s="97"/>
      <c r="BY93" s="97"/>
      <c r="BZ93" s="97"/>
      <c r="CA93" s="97"/>
      <c r="CB93" s="97"/>
      <c r="CC93" s="97"/>
      <c r="CD93" s="97"/>
      <c r="CE93" s="97"/>
      <c r="CF93" s="97"/>
      <c r="CG93" s="97"/>
      <c r="CH93" s="97"/>
      <c r="CI93" s="97"/>
      <c r="CJ93" s="97"/>
      <c r="CK93" s="97"/>
      <c r="CL93" s="97"/>
      <c r="CM93" s="97"/>
      <c r="CN93" s="97"/>
      <c r="CO93" s="97"/>
      <c r="CP93" s="97"/>
      <c r="CQ93" s="97"/>
      <c r="CR93" s="97"/>
      <c r="CS93" s="97"/>
      <c r="CT93" s="97"/>
      <c r="CU93" s="97"/>
      <c r="CV93" s="97"/>
      <c r="CW93" s="97"/>
      <c r="CX93" s="97"/>
      <c r="CY93" s="97"/>
      <c r="CZ93" s="97"/>
      <c r="DA93" s="97"/>
      <c r="DB93" s="97"/>
      <c r="DC93" s="97"/>
      <c r="DD93" s="97"/>
      <c r="DE93" s="97"/>
      <c r="DF93" s="97"/>
      <c r="DG93" s="97"/>
      <c r="DH93" s="97"/>
      <c r="DI93" s="97"/>
      <c r="DJ93" s="97"/>
      <c r="DK93" s="97"/>
      <c r="DL93" s="97"/>
      <c r="DM93" s="97"/>
      <c r="DN93" s="97"/>
      <c r="DO93" s="97"/>
      <c r="DP93" s="97"/>
      <c r="DQ93" s="97"/>
      <c r="DR93" s="97"/>
      <c r="DS93" s="97"/>
      <c r="DT93" s="97"/>
      <c r="DU93" s="97"/>
      <c r="DV93" s="97"/>
      <c r="DW93" s="97"/>
      <c r="DX93" s="97"/>
    </row>
    <row r="94" ht="14.25" customHeight="1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  <c r="AA94" s="97"/>
      <c r="AB94" s="97"/>
      <c r="AC94" s="97"/>
      <c r="AD94" s="97"/>
      <c r="AE94" s="97"/>
      <c r="AF94" s="97"/>
      <c r="AG94" s="97"/>
      <c r="AH94" s="97"/>
      <c r="AI94" s="97"/>
      <c r="AJ94" s="97"/>
      <c r="AK94" s="97"/>
      <c r="AL94" s="97"/>
      <c r="AM94" s="97"/>
      <c r="AN94" s="97"/>
      <c r="AO94" s="97"/>
      <c r="AP94" s="97"/>
      <c r="AQ94" s="97"/>
      <c r="AR94" s="97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  <c r="BP94" s="97"/>
      <c r="BQ94" s="97"/>
      <c r="BR94" s="97"/>
      <c r="BS94" s="97"/>
      <c r="BT94" s="97"/>
      <c r="BU94" s="97"/>
      <c r="BV94" s="97"/>
      <c r="BW94" s="97"/>
      <c r="BX94" s="97"/>
      <c r="BY94" s="97"/>
      <c r="BZ94" s="97"/>
      <c r="CA94" s="97"/>
      <c r="CB94" s="97"/>
      <c r="CC94" s="97"/>
      <c r="CD94" s="97"/>
      <c r="CE94" s="97"/>
      <c r="CF94" s="97"/>
      <c r="CG94" s="97"/>
      <c r="CH94" s="97"/>
      <c r="CI94" s="97"/>
      <c r="CJ94" s="97"/>
      <c r="CK94" s="97"/>
      <c r="CL94" s="97"/>
      <c r="CM94" s="97"/>
      <c r="CN94" s="97"/>
      <c r="CO94" s="97"/>
      <c r="CP94" s="97"/>
      <c r="CQ94" s="97"/>
      <c r="CR94" s="97"/>
      <c r="CS94" s="97"/>
      <c r="CT94" s="97"/>
      <c r="CU94" s="97"/>
      <c r="CV94" s="97"/>
      <c r="CW94" s="97"/>
      <c r="CX94" s="97"/>
      <c r="CY94" s="97"/>
      <c r="CZ94" s="97"/>
      <c r="DA94" s="97"/>
      <c r="DB94" s="97"/>
      <c r="DC94" s="97"/>
      <c r="DD94" s="97"/>
      <c r="DE94" s="97"/>
      <c r="DF94" s="97"/>
      <c r="DG94" s="97"/>
      <c r="DH94" s="97"/>
      <c r="DI94" s="97"/>
      <c r="DJ94" s="97"/>
      <c r="DK94" s="97"/>
      <c r="DL94" s="97"/>
      <c r="DM94" s="97"/>
      <c r="DN94" s="97"/>
      <c r="DO94" s="97"/>
      <c r="DP94" s="97"/>
      <c r="DQ94" s="97"/>
      <c r="DR94" s="97"/>
      <c r="DS94" s="97"/>
      <c r="DT94" s="97"/>
      <c r="DU94" s="97"/>
      <c r="DV94" s="97"/>
      <c r="DW94" s="97"/>
      <c r="DX94" s="97"/>
    </row>
    <row r="95" ht="14.25" customHeight="1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97"/>
      <c r="AD95" s="97"/>
      <c r="AE95" s="97"/>
      <c r="AF95" s="97"/>
      <c r="AG95" s="97"/>
      <c r="AH95" s="97"/>
      <c r="AI95" s="97"/>
      <c r="AJ95" s="97"/>
      <c r="AK95" s="97"/>
      <c r="AL95" s="97"/>
      <c r="AM95" s="97"/>
      <c r="AN95" s="97"/>
      <c r="AO95" s="97"/>
      <c r="AP95" s="97"/>
      <c r="AQ95" s="97"/>
      <c r="AR95" s="97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  <c r="BP95" s="97"/>
      <c r="BQ95" s="97"/>
      <c r="BR95" s="97"/>
      <c r="BS95" s="97"/>
      <c r="BT95" s="97"/>
      <c r="BU95" s="97"/>
      <c r="BV95" s="97"/>
      <c r="BW95" s="97"/>
      <c r="BX95" s="97"/>
      <c r="BY95" s="97"/>
      <c r="BZ95" s="97"/>
      <c r="CA95" s="97"/>
      <c r="CB95" s="97"/>
      <c r="CC95" s="97"/>
      <c r="CD95" s="97"/>
      <c r="CE95" s="97"/>
      <c r="CF95" s="97"/>
      <c r="CG95" s="97"/>
      <c r="CH95" s="97"/>
      <c r="CI95" s="97"/>
      <c r="CJ95" s="97"/>
      <c r="CK95" s="97"/>
      <c r="CL95" s="97"/>
      <c r="CM95" s="97"/>
      <c r="CN95" s="97"/>
      <c r="CO95" s="97"/>
      <c r="CP95" s="97"/>
      <c r="CQ95" s="97"/>
      <c r="CR95" s="97"/>
      <c r="CS95" s="97"/>
      <c r="CT95" s="97"/>
      <c r="CU95" s="97"/>
      <c r="CV95" s="97"/>
      <c r="CW95" s="97"/>
      <c r="CX95" s="97"/>
      <c r="CY95" s="97"/>
      <c r="CZ95" s="97"/>
      <c r="DA95" s="97"/>
      <c r="DB95" s="97"/>
      <c r="DC95" s="97"/>
      <c r="DD95" s="97"/>
      <c r="DE95" s="97"/>
      <c r="DF95" s="97"/>
      <c r="DG95" s="97"/>
      <c r="DH95" s="97"/>
      <c r="DI95" s="97"/>
      <c r="DJ95" s="97"/>
      <c r="DK95" s="97"/>
      <c r="DL95" s="97"/>
      <c r="DM95" s="97"/>
      <c r="DN95" s="97"/>
      <c r="DO95" s="97"/>
      <c r="DP95" s="97"/>
      <c r="DQ95" s="97"/>
      <c r="DR95" s="97"/>
      <c r="DS95" s="97"/>
      <c r="DT95" s="97"/>
      <c r="DU95" s="97"/>
      <c r="DV95" s="97"/>
      <c r="DW95" s="97"/>
      <c r="DX95" s="97"/>
    </row>
    <row r="96" ht="14.25" customHeight="1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97"/>
      <c r="AD96" s="97"/>
      <c r="AE96" s="97"/>
      <c r="AF96" s="97"/>
      <c r="AG96" s="97"/>
      <c r="AH96" s="97"/>
      <c r="AI96" s="97"/>
      <c r="AJ96" s="97"/>
      <c r="AK96" s="97"/>
      <c r="AL96" s="97"/>
      <c r="AM96" s="97"/>
      <c r="AN96" s="97"/>
      <c r="AO96" s="97"/>
      <c r="AP96" s="97"/>
      <c r="AQ96" s="97"/>
      <c r="AR96" s="97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  <c r="BP96" s="97"/>
      <c r="BQ96" s="97"/>
      <c r="BR96" s="97"/>
      <c r="BS96" s="97"/>
      <c r="BT96" s="97"/>
      <c r="BU96" s="97"/>
      <c r="BV96" s="97"/>
      <c r="BW96" s="97"/>
      <c r="BX96" s="97"/>
      <c r="BY96" s="97"/>
      <c r="BZ96" s="97"/>
      <c r="CA96" s="97"/>
      <c r="CB96" s="97"/>
      <c r="CC96" s="97"/>
      <c r="CD96" s="97"/>
      <c r="CE96" s="97"/>
      <c r="CF96" s="97"/>
      <c r="CG96" s="97"/>
      <c r="CH96" s="97"/>
      <c r="CI96" s="97"/>
      <c r="CJ96" s="97"/>
      <c r="CK96" s="97"/>
      <c r="CL96" s="97"/>
      <c r="CM96" s="97"/>
      <c r="CN96" s="97"/>
      <c r="CO96" s="97"/>
      <c r="CP96" s="97"/>
      <c r="CQ96" s="97"/>
      <c r="CR96" s="97"/>
      <c r="CS96" s="97"/>
      <c r="CT96" s="97"/>
      <c r="CU96" s="97"/>
      <c r="CV96" s="97"/>
      <c r="CW96" s="97"/>
      <c r="CX96" s="97"/>
      <c r="CY96" s="97"/>
      <c r="CZ96" s="97"/>
      <c r="DA96" s="97"/>
      <c r="DB96" s="97"/>
      <c r="DC96" s="97"/>
      <c r="DD96" s="97"/>
      <c r="DE96" s="97"/>
      <c r="DF96" s="97"/>
      <c r="DG96" s="97"/>
      <c r="DH96" s="97"/>
      <c r="DI96" s="97"/>
      <c r="DJ96" s="97"/>
      <c r="DK96" s="97"/>
      <c r="DL96" s="97"/>
      <c r="DM96" s="97"/>
      <c r="DN96" s="97"/>
      <c r="DO96" s="97"/>
      <c r="DP96" s="97"/>
      <c r="DQ96" s="97"/>
      <c r="DR96" s="97"/>
      <c r="DS96" s="97"/>
      <c r="DT96" s="97"/>
      <c r="DU96" s="97"/>
      <c r="DV96" s="97"/>
      <c r="DW96" s="97"/>
      <c r="DX96" s="97"/>
    </row>
    <row r="97" ht="14.25" customHeight="1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97"/>
      <c r="AD97" s="97"/>
      <c r="AE97" s="97"/>
      <c r="AF97" s="97"/>
      <c r="AG97" s="97"/>
      <c r="AH97" s="97"/>
      <c r="AI97" s="97"/>
      <c r="AJ97" s="97"/>
      <c r="AK97" s="97"/>
      <c r="AL97" s="97"/>
      <c r="AM97" s="97"/>
      <c r="AN97" s="97"/>
      <c r="AO97" s="97"/>
      <c r="AP97" s="97"/>
      <c r="AQ97" s="97"/>
      <c r="AR97" s="97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  <c r="BP97" s="97"/>
      <c r="BQ97" s="97"/>
      <c r="BR97" s="97"/>
      <c r="BS97" s="97"/>
      <c r="BT97" s="97"/>
      <c r="BU97" s="97"/>
      <c r="BV97" s="97"/>
      <c r="BW97" s="97"/>
      <c r="BX97" s="97"/>
      <c r="BY97" s="97"/>
      <c r="BZ97" s="97"/>
      <c r="CA97" s="97"/>
      <c r="CB97" s="97"/>
      <c r="CC97" s="97"/>
      <c r="CD97" s="97"/>
      <c r="CE97" s="97"/>
      <c r="CF97" s="97"/>
      <c r="CG97" s="97"/>
      <c r="CH97" s="97"/>
      <c r="CI97" s="97"/>
      <c r="CJ97" s="97"/>
      <c r="CK97" s="97"/>
      <c r="CL97" s="97"/>
      <c r="CM97" s="97"/>
      <c r="CN97" s="97"/>
      <c r="CO97" s="97"/>
      <c r="CP97" s="97"/>
      <c r="CQ97" s="97"/>
      <c r="CR97" s="97"/>
      <c r="CS97" s="97"/>
      <c r="CT97" s="97"/>
      <c r="CU97" s="97"/>
      <c r="CV97" s="97"/>
      <c r="CW97" s="97"/>
      <c r="CX97" s="97"/>
      <c r="CY97" s="97"/>
      <c r="CZ97" s="97"/>
      <c r="DA97" s="97"/>
      <c r="DB97" s="97"/>
      <c r="DC97" s="97"/>
      <c r="DD97" s="97"/>
      <c r="DE97" s="97"/>
      <c r="DF97" s="97"/>
      <c r="DG97" s="97"/>
      <c r="DH97" s="97"/>
      <c r="DI97" s="97"/>
      <c r="DJ97" s="97"/>
      <c r="DK97" s="97"/>
      <c r="DL97" s="97"/>
      <c r="DM97" s="97"/>
      <c r="DN97" s="97"/>
      <c r="DO97" s="97"/>
      <c r="DP97" s="97"/>
      <c r="DQ97" s="97"/>
      <c r="DR97" s="97"/>
      <c r="DS97" s="97"/>
      <c r="DT97" s="97"/>
      <c r="DU97" s="97"/>
      <c r="DV97" s="97"/>
      <c r="DW97" s="97"/>
      <c r="DX97" s="97"/>
    </row>
    <row r="98" ht="14.25" customHeight="1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97"/>
      <c r="AH98" s="97"/>
      <c r="AI98" s="97"/>
      <c r="AJ98" s="97"/>
      <c r="AK98" s="97"/>
      <c r="AL98" s="97"/>
      <c r="AM98" s="97"/>
      <c r="AN98" s="97"/>
      <c r="AO98" s="97"/>
      <c r="AP98" s="97"/>
      <c r="AQ98" s="97"/>
      <c r="AR98" s="97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  <c r="BP98" s="97"/>
      <c r="BQ98" s="97"/>
      <c r="BR98" s="97"/>
      <c r="BS98" s="97"/>
      <c r="BT98" s="97"/>
      <c r="BU98" s="97"/>
      <c r="BV98" s="97"/>
      <c r="BW98" s="97"/>
      <c r="BX98" s="97"/>
      <c r="BY98" s="97"/>
      <c r="BZ98" s="97"/>
      <c r="CA98" s="97"/>
      <c r="CB98" s="97"/>
      <c r="CC98" s="97"/>
      <c r="CD98" s="97"/>
      <c r="CE98" s="97"/>
      <c r="CF98" s="97"/>
      <c r="CG98" s="97"/>
      <c r="CH98" s="97"/>
      <c r="CI98" s="97"/>
      <c r="CJ98" s="97"/>
      <c r="CK98" s="97"/>
      <c r="CL98" s="97"/>
      <c r="CM98" s="97"/>
      <c r="CN98" s="97"/>
      <c r="CO98" s="97"/>
      <c r="CP98" s="97"/>
      <c r="CQ98" s="97"/>
      <c r="CR98" s="97"/>
      <c r="CS98" s="97"/>
      <c r="CT98" s="97"/>
      <c r="CU98" s="97"/>
      <c r="CV98" s="97"/>
      <c r="CW98" s="97"/>
      <c r="CX98" s="97"/>
      <c r="CY98" s="97"/>
      <c r="CZ98" s="97"/>
      <c r="DA98" s="97"/>
      <c r="DB98" s="97"/>
      <c r="DC98" s="97"/>
      <c r="DD98" s="97"/>
      <c r="DE98" s="97"/>
      <c r="DF98" s="97"/>
      <c r="DG98" s="97"/>
      <c r="DH98" s="97"/>
      <c r="DI98" s="97"/>
      <c r="DJ98" s="97"/>
      <c r="DK98" s="97"/>
      <c r="DL98" s="97"/>
      <c r="DM98" s="97"/>
      <c r="DN98" s="97"/>
      <c r="DO98" s="97"/>
      <c r="DP98" s="97"/>
      <c r="DQ98" s="97"/>
      <c r="DR98" s="97"/>
      <c r="DS98" s="97"/>
      <c r="DT98" s="97"/>
      <c r="DU98" s="97"/>
      <c r="DV98" s="97"/>
      <c r="DW98" s="97"/>
      <c r="DX98" s="97"/>
    </row>
    <row r="99" ht="14.25" customHeight="1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97"/>
      <c r="AK99" s="97"/>
      <c r="AL99" s="97"/>
      <c r="AM99" s="97"/>
      <c r="AN99" s="97"/>
      <c r="AO99" s="97"/>
      <c r="AP99" s="97"/>
      <c r="AQ99" s="97"/>
      <c r="AR99" s="97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  <c r="BP99" s="97"/>
      <c r="BQ99" s="97"/>
      <c r="BR99" s="97"/>
      <c r="BS99" s="97"/>
      <c r="BT99" s="97"/>
      <c r="BU99" s="97"/>
      <c r="BV99" s="97"/>
      <c r="BW99" s="97"/>
      <c r="BX99" s="97"/>
      <c r="BY99" s="97"/>
      <c r="BZ99" s="97"/>
      <c r="CA99" s="97"/>
      <c r="CB99" s="97"/>
      <c r="CC99" s="97"/>
      <c r="CD99" s="97"/>
      <c r="CE99" s="97"/>
      <c r="CF99" s="97"/>
      <c r="CG99" s="97"/>
      <c r="CH99" s="97"/>
      <c r="CI99" s="97"/>
      <c r="CJ99" s="97"/>
      <c r="CK99" s="97"/>
      <c r="CL99" s="97"/>
      <c r="CM99" s="97"/>
      <c r="CN99" s="97"/>
      <c r="CO99" s="97"/>
      <c r="CP99" s="97"/>
      <c r="CQ99" s="97"/>
      <c r="CR99" s="97"/>
      <c r="CS99" s="97"/>
      <c r="CT99" s="97"/>
      <c r="CU99" s="97"/>
      <c r="CV99" s="97"/>
      <c r="CW99" s="97"/>
      <c r="CX99" s="97"/>
      <c r="CY99" s="97"/>
      <c r="CZ99" s="97"/>
      <c r="DA99" s="97"/>
      <c r="DB99" s="97"/>
      <c r="DC99" s="97"/>
      <c r="DD99" s="97"/>
      <c r="DE99" s="97"/>
      <c r="DF99" s="97"/>
      <c r="DG99" s="97"/>
      <c r="DH99" s="97"/>
      <c r="DI99" s="97"/>
      <c r="DJ99" s="97"/>
      <c r="DK99" s="97"/>
      <c r="DL99" s="97"/>
      <c r="DM99" s="97"/>
      <c r="DN99" s="97"/>
      <c r="DO99" s="97"/>
      <c r="DP99" s="97"/>
      <c r="DQ99" s="97"/>
      <c r="DR99" s="97"/>
      <c r="DS99" s="97"/>
      <c r="DT99" s="97"/>
      <c r="DU99" s="97"/>
      <c r="DV99" s="97"/>
      <c r="DW99" s="97"/>
      <c r="DX99" s="97"/>
    </row>
    <row r="100" ht="14.25" customHeight="1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97"/>
      <c r="AK100" s="97"/>
      <c r="AL100" s="97"/>
      <c r="AM100" s="97"/>
      <c r="AN100" s="97"/>
      <c r="AO100" s="97"/>
      <c r="AP100" s="97"/>
      <c r="AQ100" s="97"/>
      <c r="AR100" s="97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  <c r="BP100" s="97"/>
      <c r="BQ100" s="97"/>
      <c r="BR100" s="97"/>
      <c r="BS100" s="97"/>
      <c r="BT100" s="97"/>
      <c r="BU100" s="97"/>
      <c r="BV100" s="97"/>
      <c r="BW100" s="97"/>
      <c r="BX100" s="97"/>
      <c r="BY100" s="97"/>
      <c r="BZ100" s="97"/>
      <c r="CA100" s="97"/>
      <c r="CB100" s="97"/>
      <c r="CC100" s="97"/>
      <c r="CD100" s="97"/>
      <c r="CE100" s="97"/>
      <c r="CF100" s="97"/>
      <c r="CG100" s="97"/>
      <c r="CH100" s="97"/>
      <c r="CI100" s="97"/>
      <c r="CJ100" s="97"/>
      <c r="CK100" s="97"/>
      <c r="CL100" s="97"/>
      <c r="CM100" s="97"/>
      <c r="CN100" s="97"/>
      <c r="CO100" s="97"/>
      <c r="CP100" s="97"/>
      <c r="CQ100" s="97"/>
      <c r="CR100" s="97"/>
      <c r="CS100" s="97"/>
      <c r="CT100" s="97"/>
      <c r="CU100" s="97"/>
      <c r="CV100" s="97"/>
      <c r="CW100" s="97"/>
      <c r="CX100" s="97"/>
      <c r="CY100" s="97"/>
      <c r="CZ100" s="97"/>
      <c r="DA100" s="97"/>
      <c r="DB100" s="97"/>
      <c r="DC100" s="97"/>
      <c r="DD100" s="97"/>
      <c r="DE100" s="97"/>
      <c r="DF100" s="97"/>
      <c r="DG100" s="97"/>
      <c r="DH100" s="97"/>
      <c r="DI100" s="97"/>
      <c r="DJ100" s="97"/>
      <c r="DK100" s="97"/>
      <c r="DL100" s="97"/>
      <c r="DM100" s="97"/>
      <c r="DN100" s="97"/>
      <c r="DO100" s="97"/>
      <c r="DP100" s="97"/>
      <c r="DQ100" s="97"/>
      <c r="DR100" s="97"/>
      <c r="DS100" s="97"/>
      <c r="DT100" s="97"/>
      <c r="DU100" s="97"/>
      <c r="DV100" s="97"/>
      <c r="DW100" s="97"/>
      <c r="DX100" s="97"/>
    </row>
    <row r="101" ht="14.25" customHeight="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97"/>
      <c r="AK101" s="97"/>
      <c r="AL101" s="97"/>
      <c r="AM101" s="97"/>
      <c r="AN101" s="97"/>
      <c r="AO101" s="97"/>
      <c r="AP101" s="97"/>
      <c r="AQ101" s="97"/>
      <c r="AR101" s="97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  <c r="BP101" s="97"/>
      <c r="BQ101" s="97"/>
      <c r="BR101" s="97"/>
      <c r="BS101" s="97"/>
      <c r="BT101" s="97"/>
      <c r="BU101" s="97"/>
      <c r="BV101" s="97"/>
      <c r="BW101" s="97"/>
      <c r="BX101" s="97"/>
      <c r="BY101" s="97"/>
      <c r="BZ101" s="97"/>
      <c r="CA101" s="97"/>
      <c r="CB101" s="97"/>
      <c r="CC101" s="97"/>
      <c r="CD101" s="97"/>
      <c r="CE101" s="97"/>
      <c r="CF101" s="97"/>
      <c r="CG101" s="97"/>
      <c r="CH101" s="97"/>
      <c r="CI101" s="97"/>
      <c r="CJ101" s="97"/>
      <c r="CK101" s="97"/>
      <c r="CL101" s="97"/>
      <c r="CM101" s="97"/>
      <c r="CN101" s="97"/>
      <c r="CO101" s="97"/>
      <c r="CP101" s="97"/>
      <c r="CQ101" s="97"/>
      <c r="CR101" s="97"/>
      <c r="CS101" s="97"/>
      <c r="CT101" s="97"/>
      <c r="CU101" s="97"/>
      <c r="CV101" s="97"/>
      <c r="CW101" s="97"/>
      <c r="CX101" s="97"/>
      <c r="CY101" s="97"/>
      <c r="CZ101" s="97"/>
      <c r="DA101" s="97"/>
      <c r="DB101" s="97"/>
      <c r="DC101" s="97"/>
      <c r="DD101" s="97"/>
      <c r="DE101" s="97"/>
      <c r="DF101" s="97"/>
      <c r="DG101" s="97"/>
      <c r="DH101" s="97"/>
      <c r="DI101" s="97"/>
      <c r="DJ101" s="97"/>
      <c r="DK101" s="97"/>
      <c r="DL101" s="97"/>
      <c r="DM101" s="97"/>
      <c r="DN101" s="97"/>
      <c r="DO101" s="97"/>
      <c r="DP101" s="97"/>
      <c r="DQ101" s="97"/>
      <c r="DR101" s="97"/>
      <c r="DS101" s="97"/>
      <c r="DT101" s="97"/>
      <c r="DU101" s="97"/>
      <c r="DV101" s="97"/>
      <c r="DW101" s="97"/>
      <c r="DX101" s="97"/>
    </row>
    <row r="102" ht="14.25" customHeight="1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97"/>
      <c r="AK102" s="97"/>
      <c r="AL102" s="97"/>
      <c r="AM102" s="97"/>
      <c r="AN102" s="97"/>
      <c r="AO102" s="97"/>
      <c r="AP102" s="97"/>
      <c r="AQ102" s="97"/>
      <c r="AR102" s="97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  <c r="BP102" s="97"/>
      <c r="BQ102" s="97"/>
      <c r="BR102" s="97"/>
      <c r="BS102" s="97"/>
      <c r="BT102" s="97"/>
      <c r="BU102" s="97"/>
      <c r="BV102" s="97"/>
      <c r="BW102" s="97"/>
      <c r="BX102" s="97"/>
      <c r="BY102" s="97"/>
      <c r="BZ102" s="97"/>
      <c r="CA102" s="97"/>
      <c r="CB102" s="97"/>
      <c r="CC102" s="97"/>
      <c r="CD102" s="97"/>
      <c r="CE102" s="97"/>
      <c r="CF102" s="97"/>
      <c r="CG102" s="97"/>
      <c r="CH102" s="97"/>
      <c r="CI102" s="97"/>
      <c r="CJ102" s="97"/>
      <c r="CK102" s="97"/>
      <c r="CL102" s="97"/>
      <c r="CM102" s="97"/>
      <c r="CN102" s="97"/>
      <c r="CO102" s="97"/>
      <c r="CP102" s="97"/>
      <c r="CQ102" s="97"/>
      <c r="CR102" s="97"/>
      <c r="CS102" s="97"/>
      <c r="CT102" s="97"/>
      <c r="CU102" s="97"/>
      <c r="CV102" s="97"/>
      <c r="CW102" s="97"/>
      <c r="CX102" s="97"/>
      <c r="CY102" s="97"/>
      <c r="CZ102" s="97"/>
      <c r="DA102" s="97"/>
      <c r="DB102" s="97"/>
      <c r="DC102" s="97"/>
      <c r="DD102" s="97"/>
      <c r="DE102" s="97"/>
      <c r="DF102" s="97"/>
      <c r="DG102" s="97"/>
      <c r="DH102" s="97"/>
      <c r="DI102" s="97"/>
      <c r="DJ102" s="97"/>
      <c r="DK102" s="97"/>
      <c r="DL102" s="97"/>
      <c r="DM102" s="97"/>
      <c r="DN102" s="97"/>
      <c r="DO102" s="97"/>
      <c r="DP102" s="97"/>
      <c r="DQ102" s="97"/>
      <c r="DR102" s="97"/>
      <c r="DS102" s="97"/>
      <c r="DT102" s="97"/>
      <c r="DU102" s="97"/>
      <c r="DV102" s="97"/>
      <c r="DW102" s="97"/>
      <c r="DX102" s="97"/>
    </row>
    <row r="103" ht="14.25" customHeight="1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97"/>
      <c r="AK103" s="97"/>
      <c r="AL103" s="97"/>
      <c r="AM103" s="97"/>
      <c r="AN103" s="97"/>
      <c r="AO103" s="97"/>
      <c r="AP103" s="97"/>
      <c r="AQ103" s="97"/>
      <c r="AR103" s="97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  <c r="BP103" s="97"/>
      <c r="BQ103" s="97"/>
      <c r="BR103" s="97"/>
      <c r="BS103" s="97"/>
      <c r="BT103" s="97"/>
      <c r="BU103" s="97"/>
      <c r="BV103" s="97"/>
      <c r="BW103" s="97"/>
      <c r="BX103" s="97"/>
      <c r="BY103" s="97"/>
      <c r="BZ103" s="97"/>
      <c r="CA103" s="97"/>
      <c r="CB103" s="97"/>
      <c r="CC103" s="97"/>
      <c r="CD103" s="97"/>
      <c r="CE103" s="97"/>
      <c r="CF103" s="97"/>
      <c r="CG103" s="97"/>
      <c r="CH103" s="97"/>
      <c r="CI103" s="97"/>
      <c r="CJ103" s="97"/>
      <c r="CK103" s="97"/>
      <c r="CL103" s="97"/>
      <c r="CM103" s="97"/>
      <c r="CN103" s="97"/>
      <c r="CO103" s="97"/>
      <c r="CP103" s="97"/>
      <c r="CQ103" s="97"/>
      <c r="CR103" s="97"/>
      <c r="CS103" s="97"/>
      <c r="CT103" s="97"/>
      <c r="CU103" s="97"/>
      <c r="CV103" s="97"/>
      <c r="CW103" s="97"/>
      <c r="CX103" s="97"/>
      <c r="CY103" s="97"/>
      <c r="CZ103" s="97"/>
      <c r="DA103" s="97"/>
      <c r="DB103" s="97"/>
      <c r="DC103" s="97"/>
      <c r="DD103" s="97"/>
      <c r="DE103" s="97"/>
      <c r="DF103" s="97"/>
      <c r="DG103" s="97"/>
      <c r="DH103" s="97"/>
      <c r="DI103" s="97"/>
      <c r="DJ103" s="97"/>
      <c r="DK103" s="97"/>
      <c r="DL103" s="97"/>
      <c r="DM103" s="97"/>
      <c r="DN103" s="97"/>
      <c r="DO103" s="97"/>
      <c r="DP103" s="97"/>
      <c r="DQ103" s="97"/>
      <c r="DR103" s="97"/>
      <c r="DS103" s="97"/>
      <c r="DT103" s="97"/>
      <c r="DU103" s="97"/>
      <c r="DV103" s="97"/>
      <c r="DW103" s="97"/>
      <c r="DX103" s="97"/>
    </row>
    <row r="104" ht="14.25" customHeight="1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97"/>
      <c r="AK104" s="97"/>
      <c r="AL104" s="97"/>
      <c r="AM104" s="97"/>
      <c r="AN104" s="97"/>
      <c r="AO104" s="97"/>
      <c r="AP104" s="97"/>
      <c r="AQ104" s="97"/>
      <c r="AR104" s="97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  <c r="BP104" s="97"/>
      <c r="BQ104" s="97"/>
      <c r="BR104" s="97"/>
      <c r="BS104" s="97"/>
      <c r="BT104" s="97"/>
      <c r="BU104" s="97"/>
      <c r="BV104" s="97"/>
      <c r="BW104" s="97"/>
      <c r="BX104" s="97"/>
      <c r="BY104" s="97"/>
      <c r="BZ104" s="97"/>
      <c r="CA104" s="97"/>
      <c r="CB104" s="97"/>
      <c r="CC104" s="97"/>
      <c r="CD104" s="97"/>
      <c r="CE104" s="97"/>
      <c r="CF104" s="97"/>
      <c r="CG104" s="97"/>
      <c r="CH104" s="97"/>
      <c r="CI104" s="97"/>
      <c r="CJ104" s="97"/>
      <c r="CK104" s="97"/>
      <c r="CL104" s="97"/>
      <c r="CM104" s="97"/>
      <c r="CN104" s="97"/>
      <c r="CO104" s="97"/>
      <c r="CP104" s="97"/>
      <c r="CQ104" s="97"/>
      <c r="CR104" s="97"/>
      <c r="CS104" s="97"/>
      <c r="CT104" s="97"/>
      <c r="CU104" s="97"/>
      <c r="CV104" s="97"/>
      <c r="CW104" s="97"/>
      <c r="CX104" s="97"/>
      <c r="CY104" s="97"/>
      <c r="CZ104" s="97"/>
      <c r="DA104" s="97"/>
      <c r="DB104" s="97"/>
      <c r="DC104" s="97"/>
      <c r="DD104" s="97"/>
      <c r="DE104" s="97"/>
      <c r="DF104" s="97"/>
      <c r="DG104" s="97"/>
      <c r="DH104" s="97"/>
      <c r="DI104" s="97"/>
      <c r="DJ104" s="97"/>
      <c r="DK104" s="97"/>
      <c r="DL104" s="97"/>
      <c r="DM104" s="97"/>
      <c r="DN104" s="97"/>
      <c r="DO104" s="97"/>
      <c r="DP104" s="97"/>
      <c r="DQ104" s="97"/>
      <c r="DR104" s="97"/>
      <c r="DS104" s="97"/>
      <c r="DT104" s="97"/>
      <c r="DU104" s="97"/>
      <c r="DV104" s="97"/>
      <c r="DW104" s="97"/>
      <c r="DX104" s="97"/>
    </row>
    <row r="105" ht="14.25" customHeight="1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97"/>
      <c r="AK105" s="97"/>
      <c r="AL105" s="97"/>
      <c r="AM105" s="97"/>
      <c r="AN105" s="97"/>
      <c r="AO105" s="97"/>
      <c r="AP105" s="97"/>
      <c r="AQ105" s="97"/>
      <c r="AR105" s="97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  <c r="BP105" s="97"/>
      <c r="BQ105" s="97"/>
      <c r="BR105" s="97"/>
      <c r="BS105" s="97"/>
      <c r="BT105" s="97"/>
      <c r="BU105" s="97"/>
      <c r="BV105" s="97"/>
      <c r="BW105" s="97"/>
      <c r="BX105" s="97"/>
      <c r="BY105" s="97"/>
      <c r="BZ105" s="97"/>
      <c r="CA105" s="97"/>
      <c r="CB105" s="97"/>
      <c r="CC105" s="97"/>
      <c r="CD105" s="97"/>
      <c r="CE105" s="97"/>
      <c r="CF105" s="97"/>
      <c r="CG105" s="97"/>
      <c r="CH105" s="97"/>
      <c r="CI105" s="97"/>
      <c r="CJ105" s="97"/>
      <c r="CK105" s="97"/>
      <c r="CL105" s="97"/>
      <c r="CM105" s="97"/>
      <c r="CN105" s="97"/>
      <c r="CO105" s="97"/>
      <c r="CP105" s="97"/>
      <c r="CQ105" s="97"/>
      <c r="CR105" s="97"/>
      <c r="CS105" s="97"/>
      <c r="CT105" s="97"/>
      <c r="CU105" s="97"/>
      <c r="CV105" s="97"/>
      <c r="CW105" s="97"/>
      <c r="CX105" s="97"/>
      <c r="CY105" s="97"/>
      <c r="CZ105" s="97"/>
      <c r="DA105" s="97"/>
      <c r="DB105" s="97"/>
      <c r="DC105" s="97"/>
      <c r="DD105" s="97"/>
      <c r="DE105" s="97"/>
      <c r="DF105" s="97"/>
      <c r="DG105" s="97"/>
      <c r="DH105" s="97"/>
      <c r="DI105" s="97"/>
      <c r="DJ105" s="97"/>
      <c r="DK105" s="97"/>
      <c r="DL105" s="97"/>
      <c r="DM105" s="97"/>
      <c r="DN105" s="97"/>
      <c r="DO105" s="97"/>
      <c r="DP105" s="97"/>
      <c r="DQ105" s="97"/>
      <c r="DR105" s="97"/>
      <c r="DS105" s="97"/>
      <c r="DT105" s="97"/>
      <c r="DU105" s="97"/>
      <c r="DV105" s="97"/>
      <c r="DW105" s="97"/>
      <c r="DX105" s="97"/>
    </row>
    <row r="106" ht="14.25" customHeight="1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97"/>
      <c r="AK106" s="97"/>
      <c r="AL106" s="97"/>
      <c r="AM106" s="97"/>
      <c r="AN106" s="97"/>
      <c r="AO106" s="97"/>
      <c r="AP106" s="97"/>
      <c r="AQ106" s="97"/>
      <c r="AR106" s="97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  <c r="BP106" s="97"/>
      <c r="BQ106" s="97"/>
      <c r="BR106" s="97"/>
      <c r="BS106" s="97"/>
      <c r="BT106" s="97"/>
      <c r="BU106" s="97"/>
      <c r="BV106" s="97"/>
      <c r="BW106" s="97"/>
      <c r="BX106" s="97"/>
      <c r="BY106" s="97"/>
      <c r="BZ106" s="97"/>
      <c r="CA106" s="97"/>
      <c r="CB106" s="97"/>
      <c r="CC106" s="97"/>
      <c r="CD106" s="97"/>
      <c r="CE106" s="97"/>
      <c r="CF106" s="97"/>
      <c r="CG106" s="97"/>
      <c r="CH106" s="97"/>
      <c r="CI106" s="97"/>
      <c r="CJ106" s="97"/>
      <c r="CK106" s="97"/>
      <c r="CL106" s="97"/>
      <c r="CM106" s="97"/>
      <c r="CN106" s="97"/>
      <c r="CO106" s="97"/>
      <c r="CP106" s="97"/>
      <c r="CQ106" s="97"/>
      <c r="CR106" s="97"/>
      <c r="CS106" s="97"/>
      <c r="CT106" s="97"/>
      <c r="CU106" s="97"/>
      <c r="CV106" s="97"/>
      <c r="CW106" s="97"/>
      <c r="CX106" s="97"/>
      <c r="CY106" s="97"/>
      <c r="CZ106" s="97"/>
      <c r="DA106" s="97"/>
      <c r="DB106" s="97"/>
      <c r="DC106" s="97"/>
      <c r="DD106" s="97"/>
      <c r="DE106" s="97"/>
      <c r="DF106" s="97"/>
      <c r="DG106" s="97"/>
      <c r="DH106" s="97"/>
      <c r="DI106" s="97"/>
      <c r="DJ106" s="97"/>
      <c r="DK106" s="97"/>
      <c r="DL106" s="97"/>
      <c r="DM106" s="97"/>
      <c r="DN106" s="97"/>
      <c r="DO106" s="97"/>
      <c r="DP106" s="97"/>
      <c r="DQ106" s="97"/>
      <c r="DR106" s="97"/>
      <c r="DS106" s="97"/>
      <c r="DT106" s="97"/>
      <c r="DU106" s="97"/>
      <c r="DV106" s="97"/>
      <c r="DW106" s="97"/>
      <c r="DX106" s="97"/>
    </row>
    <row r="107" ht="14.25" customHeight="1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97"/>
      <c r="AK107" s="97"/>
      <c r="AL107" s="97"/>
      <c r="AM107" s="97"/>
      <c r="AN107" s="97"/>
      <c r="AO107" s="97"/>
      <c r="AP107" s="97"/>
      <c r="AQ107" s="97"/>
      <c r="AR107" s="97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  <c r="BP107" s="97"/>
      <c r="BQ107" s="97"/>
      <c r="BR107" s="97"/>
      <c r="BS107" s="97"/>
      <c r="BT107" s="97"/>
      <c r="BU107" s="97"/>
      <c r="BV107" s="97"/>
      <c r="BW107" s="97"/>
      <c r="BX107" s="97"/>
      <c r="BY107" s="97"/>
      <c r="BZ107" s="97"/>
      <c r="CA107" s="97"/>
      <c r="CB107" s="97"/>
      <c r="CC107" s="97"/>
      <c r="CD107" s="97"/>
      <c r="CE107" s="97"/>
      <c r="CF107" s="97"/>
      <c r="CG107" s="97"/>
      <c r="CH107" s="97"/>
      <c r="CI107" s="97"/>
      <c r="CJ107" s="97"/>
      <c r="CK107" s="97"/>
      <c r="CL107" s="97"/>
      <c r="CM107" s="97"/>
      <c r="CN107" s="97"/>
      <c r="CO107" s="97"/>
      <c r="CP107" s="97"/>
      <c r="CQ107" s="97"/>
      <c r="CR107" s="97"/>
      <c r="CS107" s="97"/>
      <c r="CT107" s="97"/>
      <c r="CU107" s="97"/>
      <c r="CV107" s="97"/>
      <c r="CW107" s="97"/>
      <c r="CX107" s="97"/>
      <c r="CY107" s="97"/>
      <c r="CZ107" s="97"/>
      <c r="DA107" s="97"/>
      <c r="DB107" s="97"/>
      <c r="DC107" s="97"/>
      <c r="DD107" s="97"/>
      <c r="DE107" s="97"/>
      <c r="DF107" s="97"/>
      <c r="DG107" s="97"/>
      <c r="DH107" s="97"/>
      <c r="DI107" s="97"/>
      <c r="DJ107" s="97"/>
      <c r="DK107" s="97"/>
      <c r="DL107" s="97"/>
      <c r="DM107" s="97"/>
      <c r="DN107" s="97"/>
      <c r="DO107" s="97"/>
      <c r="DP107" s="97"/>
      <c r="DQ107" s="97"/>
      <c r="DR107" s="97"/>
      <c r="DS107" s="97"/>
      <c r="DT107" s="97"/>
      <c r="DU107" s="97"/>
      <c r="DV107" s="97"/>
      <c r="DW107" s="97"/>
      <c r="DX107" s="97"/>
    </row>
    <row r="108" ht="14.25" customHeight="1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97"/>
      <c r="AH108" s="97"/>
      <c r="AI108" s="97"/>
      <c r="AJ108" s="97"/>
      <c r="AK108" s="97"/>
      <c r="AL108" s="97"/>
      <c r="AM108" s="97"/>
      <c r="AN108" s="97"/>
      <c r="AO108" s="97"/>
      <c r="AP108" s="97"/>
      <c r="AQ108" s="97"/>
      <c r="AR108" s="97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  <c r="BP108" s="97"/>
      <c r="BQ108" s="97"/>
      <c r="BR108" s="97"/>
      <c r="BS108" s="97"/>
      <c r="BT108" s="97"/>
      <c r="BU108" s="97"/>
      <c r="BV108" s="97"/>
      <c r="BW108" s="97"/>
      <c r="BX108" s="97"/>
      <c r="BY108" s="97"/>
      <c r="BZ108" s="97"/>
      <c r="CA108" s="97"/>
      <c r="CB108" s="97"/>
      <c r="CC108" s="97"/>
      <c r="CD108" s="97"/>
      <c r="CE108" s="97"/>
      <c r="CF108" s="97"/>
      <c r="CG108" s="97"/>
      <c r="CH108" s="97"/>
      <c r="CI108" s="97"/>
      <c r="CJ108" s="97"/>
      <c r="CK108" s="97"/>
      <c r="CL108" s="97"/>
      <c r="CM108" s="97"/>
      <c r="CN108" s="97"/>
      <c r="CO108" s="97"/>
      <c r="CP108" s="97"/>
      <c r="CQ108" s="97"/>
      <c r="CR108" s="97"/>
      <c r="CS108" s="97"/>
      <c r="CT108" s="97"/>
      <c r="CU108" s="97"/>
      <c r="CV108" s="97"/>
      <c r="CW108" s="97"/>
      <c r="CX108" s="97"/>
      <c r="CY108" s="97"/>
      <c r="CZ108" s="97"/>
      <c r="DA108" s="97"/>
      <c r="DB108" s="97"/>
      <c r="DC108" s="97"/>
      <c r="DD108" s="97"/>
      <c r="DE108" s="97"/>
      <c r="DF108" s="97"/>
      <c r="DG108" s="97"/>
      <c r="DH108" s="97"/>
      <c r="DI108" s="97"/>
      <c r="DJ108" s="97"/>
      <c r="DK108" s="97"/>
      <c r="DL108" s="97"/>
      <c r="DM108" s="97"/>
      <c r="DN108" s="97"/>
      <c r="DO108" s="97"/>
      <c r="DP108" s="97"/>
      <c r="DQ108" s="97"/>
      <c r="DR108" s="97"/>
      <c r="DS108" s="97"/>
      <c r="DT108" s="97"/>
      <c r="DU108" s="97"/>
      <c r="DV108" s="97"/>
      <c r="DW108" s="97"/>
      <c r="DX108" s="97"/>
    </row>
    <row r="109" ht="14.25" customHeight="1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  <c r="AD109" s="97"/>
      <c r="AE109" s="97"/>
      <c r="AF109" s="97"/>
      <c r="AG109" s="97"/>
      <c r="AH109" s="97"/>
      <c r="AI109" s="97"/>
      <c r="AJ109" s="97"/>
      <c r="AK109" s="97"/>
      <c r="AL109" s="97"/>
      <c r="AM109" s="97"/>
      <c r="AN109" s="97"/>
      <c r="AO109" s="97"/>
      <c r="AP109" s="97"/>
      <c r="AQ109" s="97"/>
      <c r="AR109" s="97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  <c r="BP109" s="97"/>
      <c r="BQ109" s="97"/>
      <c r="BR109" s="97"/>
      <c r="BS109" s="97"/>
      <c r="BT109" s="97"/>
      <c r="BU109" s="97"/>
      <c r="BV109" s="97"/>
      <c r="BW109" s="97"/>
      <c r="BX109" s="97"/>
      <c r="BY109" s="97"/>
      <c r="BZ109" s="97"/>
      <c r="CA109" s="97"/>
      <c r="CB109" s="97"/>
      <c r="CC109" s="97"/>
      <c r="CD109" s="97"/>
      <c r="CE109" s="97"/>
      <c r="CF109" s="97"/>
      <c r="CG109" s="97"/>
      <c r="CH109" s="97"/>
      <c r="CI109" s="97"/>
      <c r="CJ109" s="97"/>
      <c r="CK109" s="97"/>
      <c r="CL109" s="97"/>
      <c r="CM109" s="97"/>
      <c r="CN109" s="97"/>
      <c r="CO109" s="97"/>
      <c r="CP109" s="97"/>
      <c r="CQ109" s="97"/>
      <c r="CR109" s="97"/>
      <c r="CS109" s="97"/>
      <c r="CT109" s="97"/>
      <c r="CU109" s="97"/>
      <c r="CV109" s="97"/>
      <c r="CW109" s="97"/>
      <c r="CX109" s="97"/>
      <c r="CY109" s="97"/>
      <c r="CZ109" s="97"/>
      <c r="DA109" s="97"/>
      <c r="DB109" s="97"/>
      <c r="DC109" s="97"/>
      <c r="DD109" s="97"/>
      <c r="DE109" s="97"/>
      <c r="DF109" s="97"/>
      <c r="DG109" s="97"/>
      <c r="DH109" s="97"/>
      <c r="DI109" s="97"/>
      <c r="DJ109" s="97"/>
      <c r="DK109" s="97"/>
      <c r="DL109" s="97"/>
      <c r="DM109" s="97"/>
      <c r="DN109" s="97"/>
      <c r="DO109" s="97"/>
      <c r="DP109" s="97"/>
      <c r="DQ109" s="97"/>
      <c r="DR109" s="97"/>
      <c r="DS109" s="97"/>
      <c r="DT109" s="97"/>
      <c r="DU109" s="97"/>
      <c r="DV109" s="97"/>
      <c r="DW109" s="97"/>
      <c r="DX109" s="97"/>
    </row>
    <row r="110" ht="14.25" customHeight="1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  <c r="AD110" s="97"/>
      <c r="AE110" s="97"/>
      <c r="AF110" s="97"/>
      <c r="AG110" s="97"/>
      <c r="AH110" s="97"/>
      <c r="AI110" s="97"/>
      <c r="AJ110" s="97"/>
      <c r="AK110" s="97"/>
      <c r="AL110" s="97"/>
      <c r="AM110" s="97"/>
      <c r="AN110" s="97"/>
      <c r="AO110" s="97"/>
      <c r="AP110" s="97"/>
      <c r="AQ110" s="97"/>
      <c r="AR110" s="97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  <c r="BP110" s="97"/>
      <c r="BQ110" s="97"/>
      <c r="BR110" s="97"/>
      <c r="BS110" s="97"/>
      <c r="BT110" s="97"/>
      <c r="BU110" s="97"/>
      <c r="BV110" s="97"/>
      <c r="BW110" s="97"/>
      <c r="BX110" s="97"/>
      <c r="BY110" s="97"/>
      <c r="BZ110" s="97"/>
      <c r="CA110" s="97"/>
      <c r="CB110" s="97"/>
      <c r="CC110" s="97"/>
      <c r="CD110" s="97"/>
      <c r="CE110" s="97"/>
      <c r="CF110" s="97"/>
      <c r="CG110" s="97"/>
      <c r="CH110" s="97"/>
      <c r="CI110" s="97"/>
      <c r="CJ110" s="97"/>
      <c r="CK110" s="97"/>
      <c r="CL110" s="97"/>
      <c r="CM110" s="97"/>
      <c r="CN110" s="97"/>
      <c r="CO110" s="97"/>
      <c r="CP110" s="97"/>
      <c r="CQ110" s="97"/>
      <c r="CR110" s="97"/>
      <c r="CS110" s="97"/>
      <c r="CT110" s="97"/>
      <c r="CU110" s="97"/>
      <c r="CV110" s="97"/>
      <c r="CW110" s="97"/>
      <c r="CX110" s="97"/>
      <c r="CY110" s="97"/>
      <c r="CZ110" s="97"/>
      <c r="DA110" s="97"/>
      <c r="DB110" s="97"/>
      <c r="DC110" s="97"/>
      <c r="DD110" s="97"/>
      <c r="DE110" s="97"/>
      <c r="DF110" s="97"/>
      <c r="DG110" s="97"/>
      <c r="DH110" s="97"/>
      <c r="DI110" s="97"/>
      <c r="DJ110" s="97"/>
      <c r="DK110" s="97"/>
      <c r="DL110" s="97"/>
      <c r="DM110" s="97"/>
      <c r="DN110" s="97"/>
      <c r="DO110" s="97"/>
      <c r="DP110" s="97"/>
      <c r="DQ110" s="97"/>
      <c r="DR110" s="97"/>
      <c r="DS110" s="97"/>
      <c r="DT110" s="97"/>
      <c r="DU110" s="97"/>
      <c r="DV110" s="97"/>
      <c r="DW110" s="97"/>
      <c r="DX110" s="97"/>
    </row>
    <row r="111" ht="14.25" customHeight="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97"/>
      <c r="AK111" s="97"/>
      <c r="AL111" s="97"/>
      <c r="AM111" s="97"/>
      <c r="AN111" s="97"/>
      <c r="AO111" s="97"/>
      <c r="AP111" s="97"/>
      <c r="AQ111" s="97"/>
      <c r="AR111" s="97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  <c r="BP111" s="97"/>
      <c r="BQ111" s="97"/>
      <c r="BR111" s="97"/>
      <c r="BS111" s="97"/>
      <c r="BT111" s="97"/>
      <c r="BU111" s="97"/>
      <c r="BV111" s="97"/>
      <c r="BW111" s="97"/>
      <c r="BX111" s="97"/>
      <c r="BY111" s="97"/>
      <c r="BZ111" s="97"/>
      <c r="CA111" s="97"/>
      <c r="CB111" s="97"/>
      <c r="CC111" s="97"/>
      <c r="CD111" s="97"/>
      <c r="CE111" s="97"/>
      <c r="CF111" s="97"/>
      <c r="CG111" s="97"/>
      <c r="CH111" s="97"/>
      <c r="CI111" s="97"/>
      <c r="CJ111" s="97"/>
      <c r="CK111" s="97"/>
      <c r="CL111" s="97"/>
      <c r="CM111" s="97"/>
      <c r="CN111" s="97"/>
      <c r="CO111" s="97"/>
      <c r="CP111" s="97"/>
      <c r="CQ111" s="97"/>
      <c r="CR111" s="97"/>
      <c r="CS111" s="97"/>
      <c r="CT111" s="97"/>
      <c r="CU111" s="97"/>
      <c r="CV111" s="97"/>
      <c r="CW111" s="97"/>
      <c r="CX111" s="97"/>
      <c r="CY111" s="97"/>
      <c r="CZ111" s="97"/>
      <c r="DA111" s="97"/>
      <c r="DB111" s="97"/>
      <c r="DC111" s="97"/>
      <c r="DD111" s="97"/>
      <c r="DE111" s="97"/>
      <c r="DF111" s="97"/>
      <c r="DG111" s="97"/>
      <c r="DH111" s="97"/>
      <c r="DI111" s="97"/>
      <c r="DJ111" s="97"/>
      <c r="DK111" s="97"/>
      <c r="DL111" s="97"/>
      <c r="DM111" s="97"/>
      <c r="DN111" s="97"/>
      <c r="DO111" s="97"/>
      <c r="DP111" s="97"/>
      <c r="DQ111" s="97"/>
      <c r="DR111" s="97"/>
      <c r="DS111" s="97"/>
      <c r="DT111" s="97"/>
      <c r="DU111" s="97"/>
      <c r="DV111" s="97"/>
      <c r="DW111" s="97"/>
      <c r="DX111" s="97"/>
    </row>
    <row r="112" ht="14.25" customHeight="1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97"/>
      <c r="AK112" s="97"/>
      <c r="AL112" s="97"/>
      <c r="AM112" s="97"/>
      <c r="AN112" s="97"/>
      <c r="AO112" s="97"/>
      <c r="AP112" s="97"/>
      <c r="AQ112" s="97"/>
      <c r="AR112" s="97"/>
      <c r="AS112" s="97"/>
      <c r="AT112" s="97"/>
      <c r="AU112" s="97"/>
      <c r="AV112" s="97"/>
      <c r="AW112" s="97"/>
      <c r="AX112" s="97"/>
      <c r="AY112" s="97"/>
      <c r="AZ112" s="97"/>
      <c r="BA112" s="97"/>
      <c r="BB112" s="97"/>
      <c r="BC112" s="97"/>
      <c r="BD112" s="97"/>
      <c r="BE112" s="97"/>
      <c r="BF112" s="97"/>
      <c r="BG112" s="97"/>
      <c r="BH112" s="97"/>
      <c r="BI112" s="97"/>
      <c r="BJ112" s="97"/>
      <c r="BK112" s="97"/>
      <c r="BL112" s="97"/>
      <c r="BM112" s="97"/>
      <c r="BN112" s="97"/>
      <c r="BO112" s="97"/>
      <c r="BP112" s="97"/>
      <c r="BQ112" s="97"/>
      <c r="BR112" s="97"/>
      <c r="BS112" s="97"/>
      <c r="BT112" s="97"/>
      <c r="BU112" s="97"/>
      <c r="BV112" s="97"/>
      <c r="BW112" s="97"/>
      <c r="BX112" s="97"/>
      <c r="BY112" s="97"/>
      <c r="BZ112" s="97"/>
      <c r="CA112" s="97"/>
      <c r="CB112" s="97"/>
      <c r="CC112" s="97"/>
      <c r="CD112" s="97"/>
      <c r="CE112" s="97"/>
      <c r="CF112" s="97"/>
      <c r="CG112" s="97"/>
      <c r="CH112" s="97"/>
      <c r="CI112" s="97"/>
      <c r="CJ112" s="97"/>
      <c r="CK112" s="97"/>
      <c r="CL112" s="97"/>
      <c r="CM112" s="97"/>
      <c r="CN112" s="97"/>
      <c r="CO112" s="97"/>
      <c r="CP112" s="97"/>
      <c r="CQ112" s="97"/>
      <c r="CR112" s="97"/>
      <c r="CS112" s="97"/>
      <c r="CT112" s="97"/>
      <c r="CU112" s="97"/>
      <c r="CV112" s="97"/>
      <c r="CW112" s="97"/>
      <c r="CX112" s="97"/>
      <c r="CY112" s="97"/>
      <c r="CZ112" s="97"/>
      <c r="DA112" s="97"/>
      <c r="DB112" s="97"/>
      <c r="DC112" s="97"/>
      <c r="DD112" s="97"/>
      <c r="DE112" s="97"/>
      <c r="DF112" s="97"/>
      <c r="DG112" s="97"/>
      <c r="DH112" s="97"/>
      <c r="DI112" s="97"/>
      <c r="DJ112" s="97"/>
      <c r="DK112" s="97"/>
      <c r="DL112" s="97"/>
      <c r="DM112" s="97"/>
      <c r="DN112" s="97"/>
      <c r="DO112" s="97"/>
      <c r="DP112" s="97"/>
      <c r="DQ112" s="97"/>
      <c r="DR112" s="97"/>
      <c r="DS112" s="97"/>
      <c r="DT112" s="97"/>
      <c r="DU112" s="97"/>
      <c r="DV112" s="97"/>
      <c r="DW112" s="97"/>
      <c r="DX112" s="97"/>
    </row>
    <row r="113" ht="14.25" customHeight="1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97"/>
      <c r="AK113" s="97"/>
      <c r="AL113" s="97"/>
      <c r="AM113" s="97"/>
      <c r="AN113" s="97"/>
      <c r="AO113" s="97"/>
      <c r="AP113" s="97"/>
      <c r="AQ113" s="97"/>
      <c r="AR113" s="97"/>
      <c r="AS113" s="97"/>
      <c r="AT113" s="97"/>
      <c r="AU113" s="97"/>
      <c r="AV113" s="97"/>
      <c r="AW113" s="97"/>
      <c r="AX113" s="97"/>
      <c r="AY113" s="97"/>
      <c r="AZ113" s="97"/>
      <c r="BA113" s="97"/>
      <c r="BB113" s="97"/>
      <c r="BC113" s="97"/>
      <c r="BD113" s="97"/>
      <c r="BE113" s="97"/>
      <c r="BF113" s="97"/>
      <c r="BG113" s="97"/>
      <c r="BH113" s="97"/>
      <c r="BI113" s="97"/>
      <c r="BJ113" s="97"/>
      <c r="BK113" s="97"/>
      <c r="BL113" s="97"/>
      <c r="BM113" s="97"/>
      <c r="BN113" s="97"/>
      <c r="BO113" s="97"/>
      <c r="BP113" s="97"/>
      <c r="BQ113" s="97"/>
      <c r="BR113" s="97"/>
      <c r="BS113" s="97"/>
      <c r="BT113" s="97"/>
      <c r="BU113" s="97"/>
      <c r="BV113" s="97"/>
      <c r="BW113" s="97"/>
      <c r="BX113" s="97"/>
      <c r="BY113" s="97"/>
      <c r="BZ113" s="97"/>
      <c r="CA113" s="97"/>
      <c r="CB113" s="97"/>
      <c r="CC113" s="97"/>
      <c r="CD113" s="97"/>
      <c r="CE113" s="97"/>
      <c r="CF113" s="97"/>
      <c r="CG113" s="97"/>
      <c r="CH113" s="97"/>
      <c r="CI113" s="97"/>
      <c r="CJ113" s="97"/>
      <c r="CK113" s="97"/>
      <c r="CL113" s="97"/>
      <c r="CM113" s="97"/>
      <c r="CN113" s="97"/>
      <c r="CO113" s="97"/>
      <c r="CP113" s="97"/>
      <c r="CQ113" s="97"/>
      <c r="CR113" s="97"/>
      <c r="CS113" s="97"/>
      <c r="CT113" s="97"/>
      <c r="CU113" s="97"/>
      <c r="CV113" s="97"/>
      <c r="CW113" s="97"/>
      <c r="CX113" s="97"/>
      <c r="CY113" s="97"/>
      <c r="CZ113" s="97"/>
      <c r="DA113" s="97"/>
      <c r="DB113" s="97"/>
      <c r="DC113" s="97"/>
      <c r="DD113" s="97"/>
      <c r="DE113" s="97"/>
      <c r="DF113" s="97"/>
      <c r="DG113" s="97"/>
      <c r="DH113" s="97"/>
      <c r="DI113" s="97"/>
      <c r="DJ113" s="97"/>
      <c r="DK113" s="97"/>
      <c r="DL113" s="97"/>
      <c r="DM113" s="97"/>
      <c r="DN113" s="97"/>
      <c r="DO113" s="97"/>
      <c r="DP113" s="97"/>
      <c r="DQ113" s="97"/>
      <c r="DR113" s="97"/>
      <c r="DS113" s="97"/>
      <c r="DT113" s="97"/>
      <c r="DU113" s="97"/>
      <c r="DV113" s="97"/>
      <c r="DW113" s="97"/>
      <c r="DX113" s="97"/>
    </row>
    <row r="114" ht="14.25" customHeight="1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97"/>
      <c r="AK114" s="97"/>
      <c r="AL114" s="97"/>
      <c r="AM114" s="97"/>
      <c r="AN114" s="97"/>
      <c r="AO114" s="97"/>
      <c r="AP114" s="97"/>
      <c r="AQ114" s="97"/>
      <c r="AR114" s="97"/>
      <c r="AS114" s="97"/>
      <c r="AT114" s="97"/>
      <c r="AU114" s="97"/>
      <c r="AV114" s="97"/>
      <c r="AW114" s="97"/>
      <c r="AX114" s="97"/>
      <c r="AY114" s="97"/>
      <c r="AZ114" s="97"/>
      <c r="BA114" s="97"/>
      <c r="BB114" s="97"/>
      <c r="BC114" s="97"/>
      <c r="BD114" s="97"/>
      <c r="BE114" s="97"/>
      <c r="BF114" s="97"/>
      <c r="BG114" s="97"/>
      <c r="BH114" s="97"/>
      <c r="BI114" s="97"/>
      <c r="BJ114" s="97"/>
      <c r="BK114" s="97"/>
      <c r="BL114" s="97"/>
      <c r="BM114" s="97"/>
      <c r="BN114" s="97"/>
      <c r="BO114" s="97"/>
      <c r="BP114" s="97"/>
      <c r="BQ114" s="97"/>
      <c r="BR114" s="97"/>
      <c r="BS114" s="97"/>
      <c r="BT114" s="97"/>
      <c r="BU114" s="97"/>
      <c r="BV114" s="97"/>
      <c r="BW114" s="97"/>
      <c r="BX114" s="97"/>
      <c r="BY114" s="97"/>
      <c r="BZ114" s="97"/>
      <c r="CA114" s="97"/>
      <c r="CB114" s="97"/>
      <c r="CC114" s="97"/>
      <c r="CD114" s="97"/>
      <c r="CE114" s="97"/>
      <c r="CF114" s="97"/>
      <c r="CG114" s="97"/>
      <c r="CH114" s="97"/>
      <c r="CI114" s="97"/>
      <c r="CJ114" s="97"/>
      <c r="CK114" s="97"/>
      <c r="CL114" s="97"/>
      <c r="CM114" s="97"/>
      <c r="CN114" s="97"/>
      <c r="CO114" s="97"/>
      <c r="CP114" s="97"/>
      <c r="CQ114" s="97"/>
      <c r="CR114" s="97"/>
      <c r="CS114" s="97"/>
      <c r="CT114" s="97"/>
      <c r="CU114" s="97"/>
      <c r="CV114" s="97"/>
      <c r="CW114" s="97"/>
      <c r="CX114" s="97"/>
      <c r="CY114" s="97"/>
      <c r="CZ114" s="97"/>
      <c r="DA114" s="97"/>
      <c r="DB114" s="97"/>
      <c r="DC114" s="97"/>
      <c r="DD114" s="97"/>
      <c r="DE114" s="97"/>
      <c r="DF114" s="97"/>
      <c r="DG114" s="97"/>
      <c r="DH114" s="97"/>
      <c r="DI114" s="97"/>
      <c r="DJ114" s="97"/>
      <c r="DK114" s="97"/>
      <c r="DL114" s="97"/>
      <c r="DM114" s="97"/>
      <c r="DN114" s="97"/>
      <c r="DO114" s="97"/>
      <c r="DP114" s="97"/>
      <c r="DQ114" s="97"/>
      <c r="DR114" s="97"/>
      <c r="DS114" s="97"/>
      <c r="DT114" s="97"/>
      <c r="DU114" s="97"/>
      <c r="DV114" s="97"/>
      <c r="DW114" s="97"/>
      <c r="DX114" s="97"/>
    </row>
    <row r="115" ht="14.25" customHeight="1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97"/>
      <c r="AO115" s="97"/>
      <c r="AP115" s="97"/>
      <c r="AQ115" s="97"/>
      <c r="AR115" s="97"/>
      <c r="AS115" s="97"/>
      <c r="AT115" s="97"/>
      <c r="AU115" s="97"/>
      <c r="AV115" s="97"/>
      <c r="AW115" s="97"/>
      <c r="AX115" s="97"/>
      <c r="AY115" s="97"/>
      <c r="AZ115" s="97"/>
      <c r="BA115" s="97"/>
      <c r="BB115" s="97"/>
      <c r="BC115" s="97"/>
      <c r="BD115" s="97"/>
      <c r="BE115" s="97"/>
      <c r="BF115" s="97"/>
      <c r="BG115" s="97"/>
      <c r="BH115" s="97"/>
      <c r="BI115" s="97"/>
      <c r="BJ115" s="97"/>
      <c r="BK115" s="97"/>
      <c r="BL115" s="97"/>
      <c r="BM115" s="97"/>
      <c r="BN115" s="97"/>
      <c r="BO115" s="97"/>
      <c r="BP115" s="97"/>
      <c r="BQ115" s="97"/>
      <c r="BR115" s="97"/>
      <c r="BS115" s="97"/>
      <c r="BT115" s="97"/>
      <c r="BU115" s="97"/>
      <c r="BV115" s="97"/>
      <c r="BW115" s="97"/>
      <c r="BX115" s="97"/>
      <c r="BY115" s="97"/>
      <c r="BZ115" s="97"/>
      <c r="CA115" s="97"/>
      <c r="CB115" s="97"/>
      <c r="CC115" s="97"/>
      <c r="CD115" s="97"/>
      <c r="CE115" s="97"/>
      <c r="CF115" s="97"/>
      <c r="CG115" s="97"/>
      <c r="CH115" s="97"/>
      <c r="CI115" s="97"/>
      <c r="CJ115" s="97"/>
      <c r="CK115" s="97"/>
      <c r="CL115" s="97"/>
      <c r="CM115" s="97"/>
      <c r="CN115" s="97"/>
      <c r="CO115" s="97"/>
      <c r="CP115" s="97"/>
      <c r="CQ115" s="97"/>
      <c r="CR115" s="97"/>
      <c r="CS115" s="97"/>
      <c r="CT115" s="97"/>
      <c r="CU115" s="97"/>
      <c r="CV115" s="97"/>
      <c r="CW115" s="97"/>
      <c r="CX115" s="97"/>
      <c r="CY115" s="97"/>
      <c r="CZ115" s="97"/>
      <c r="DA115" s="97"/>
      <c r="DB115" s="97"/>
      <c r="DC115" s="97"/>
      <c r="DD115" s="97"/>
      <c r="DE115" s="97"/>
      <c r="DF115" s="97"/>
      <c r="DG115" s="97"/>
      <c r="DH115" s="97"/>
      <c r="DI115" s="97"/>
      <c r="DJ115" s="97"/>
      <c r="DK115" s="97"/>
      <c r="DL115" s="97"/>
      <c r="DM115" s="97"/>
      <c r="DN115" s="97"/>
      <c r="DO115" s="97"/>
      <c r="DP115" s="97"/>
      <c r="DQ115" s="97"/>
      <c r="DR115" s="97"/>
      <c r="DS115" s="97"/>
      <c r="DT115" s="97"/>
      <c r="DU115" s="97"/>
      <c r="DV115" s="97"/>
      <c r="DW115" s="97"/>
      <c r="DX115" s="97"/>
    </row>
    <row r="116" ht="14.25" customHeight="1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97"/>
      <c r="AK116" s="97"/>
      <c r="AL116" s="97"/>
      <c r="AM116" s="97"/>
      <c r="AN116" s="97"/>
      <c r="AO116" s="97"/>
      <c r="AP116" s="97"/>
      <c r="AQ116" s="97"/>
      <c r="AR116" s="97"/>
      <c r="AS116" s="97"/>
      <c r="AT116" s="97"/>
      <c r="AU116" s="97"/>
      <c r="AV116" s="97"/>
      <c r="AW116" s="97"/>
      <c r="AX116" s="97"/>
      <c r="AY116" s="97"/>
      <c r="AZ116" s="97"/>
      <c r="BA116" s="97"/>
      <c r="BB116" s="97"/>
      <c r="BC116" s="97"/>
      <c r="BD116" s="97"/>
      <c r="BE116" s="97"/>
      <c r="BF116" s="97"/>
      <c r="BG116" s="97"/>
      <c r="BH116" s="97"/>
      <c r="BI116" s="97"/>
      <c r="BJ116" s="97"/>
      <c r="BK116" s="97"/>
      <c r="BL116" s="97"/>
      <c r="BM116" s="97"/>
      <c r="BN116" s="97"/>
      <c r="BO116" s="97"/>
      <c r="BP116" s="97"/>
      <c r="BQ116" s="97"/>
      <c r="BR116" s="97"/>
      <c r="BS116" s="97"/>
      <c r="BT116" s="97"/>
      <c r="BU116" s="97"/>
      <c r="BV116" s="97"/>
      <c r="BW116" s="97"/>
      <c r="BX116" s="97"/>
      <c r="BY116" s="97"/>
      <c r="BZ116" s="97"/>
      <c r="CA116" s="97"/>
      <c r="CB116" s="97"/>
      <c r="CC116" s="97"/>
      <c r="CD116" s="97"/>
      <c r="CE116" s="97"/>
      <c r="CF116" s="97"/>
      <c r="CG116" s="97"/>
      <c r="CH116" s="97"/>
      <c r="CI116" s="97"/>
      <c r="CJ116" s="97"/>
      <c r="CK116" s="97"/>
      <c r="CL116" s="97"/>
      <c r="CM116" s="97"/>
      <c r="CN116" s="97"/>
      <c r="CO116" s="97"/>
      <c r="CP116" s="97"/>
      <c r="CQ116" s="97"/>
      <c r="CR116" s="97"/>
      <c r="CS116" s="97"/>
      <c r="CT116" s="97"/>
      <c r="CU116" s="97"/>
      <c r="CV116" s="97"/>
      <c r="CW116" s="97"/>
      <c r="CX116" s="97"/>
      <c r="CY116" s="97"/>
      <c r="CZ116" s="97"/>
      <c r="DA116" s="97"/>
      <c r="DB116" s="97"/>
      <c r="DC116" s="97"/>
      <c r="DD116" s="97"/>
      <c r="DE116" s="97"/>
      <c r="DF116" s="97"/>
      <c r="DG116" s="97"/>
      <c r="DH116" s="97"/>
      <c r="DI116" s="97"/>
      <c r="DJ116" s="97"/>
      <c r="DK116" s="97"/>
      <c r="DL116" s="97"/>
      <c r="DM116" s="97"/>
      <c r="DN116" s="97"/>
      <c r="DO116" s="97"/>
      <c r="DP116" s="97"/>
      <c r="DQ116" s="97"/>
      <c r="DR116" s="97"/>
      <c r="DS116" s="97"/>
      <c r="DT116" s="97"/>
      <c r="DU116" s="97"/>
      <c r="DV116" s="97"/>
      <c r="DW116" s="97"/>
      <c r="DX116" s="97"/>
    </row>
    <row r="117" ht="14.25" customHeight="1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97"/>
      <c r="AK117" s="97"/>
      <c r="AL117" s="97"/>
      <c r="AM117" s="97"/>
      <c r="AN117" s="97"/>
      <c r="AO117" s="97"/>
      <c r="AP117" s="97"/>
      <c r="AQ117" s="97"/>
      <c r="AR117" s="97"/>
      <c r="AS117" s="97"/>
      <c r="AT117" s="97"/>
      <c r="AU117" s="97"/>
      <c r="AV117" s="97"/>
      <c r="AW117" s="97"/>
      <c r="AX117" s="97"/>
      <c r="AY117" s="97"/>
      <c r="AZ117" s="97"/>
      <c r="BA117" s="97"/>
      <c r="BB117" s="97"/>
      <c r="BC117" s="97"/>
      <c r="BD117" s="97"/>
      <c r="BE117" s="97"/>
      <c r="BF117" s="97"/>
      <c r="BG117" s="97"/>
      <c r="BH117" s="97"/>
      <c r="BI117" s="97"/>
      <c r="BJ117" s="97"/>
      <c r="BK117" s="97"/>
      <c r="BL117" s="97"/>
      <c r="BM117" s="97"/>
      <c r="BN117" s="97"/>
      <c r="BO117" s="97"/>
      <c r="BP117" s="97"/>
      <c r="BQ117" s="97"/>
      <c r="BR117" s="97"/>
      <c r="BS117" s="97"/>
      <c r="BT117" s="97"/>
      <c r="BU117" s="97"/>
      <c r="BV117" s="97"/>
      <c r="BW117" s="97"/>
      <c r="BX117" s="97"/>
      <c r="BY117" s="97"/>
      <c r="BZ117" s="97"/>
      <c r="CA117" s="97"/>
      <c r="CB117" s="97"/>
      <c r="CC117" s="97"/>
      <c r="CD117" s="97"/>
      <c r="CE117" s="97"/>
      <c r="CF117" s="97"/>
      <c r="CG117" s="97"/>
      <c r="CH117" s="97"/>
      <c r="CI117" s="97"/>
      <c r="CJ117" s="97"/>
      <c r="CK117" s="97"/>
      <c r="CL117" s="97"/>
      <c r="CM117" s="97"/>
      <c r="CN117" s="97"/>
      <c r="CO117" s="97"/>
      <c r="CP117" s="97"/>
      <c r="CQ117" s="97"/>
      <c r="CR117" s="97"/>
      <c r="CS117" s="97"/>
      <c r="CT117" s="97"/>
      <c r="CU117" s="97"/>
      <c r="CV117" s="97"/>
      <c r="CW117" s="97"/>
      <c r="CX117" s="97"/>
      <c r="CY117" s="97"/>
      <c r="CZ117" s="97"/>
      <c r="DA117" s="97"/>
      <c r="DB117" s="97"/>
      <c r="DC117" s="97"/>
      <c r="DD117" s="97"/>
      <c r="DE117" s="97"/>
      <c r="DF117" s="97"/>
      <c r="DG117" s="97"/>
      <c r="DH117" s="97"/>
      <c r="DI117" s="97"/>
      <c r="DJ117" s="97"/>
      <c r="DK117" s="97"/>
      <c r="DL117" s="97"/>
      <c r="DM117" s="97"/>
      <c r="DN117" s="97"/>
      <c r="DO117" s="97"/>
      <c r="DP117" s="97"/>
      <c r="DQ117" s="97"/>
      <c r="DR117" s="97"/>
      <c r="DS117" s="97"/>
      <c r="DT117" s="97"/>
      <c r="DU117" s="97"/>
      <c r="DV117" s="97"/>
      <c r="DW117" s="97"/>
      <c r="DX117" s="97"/>
    </row>
    <row r="118" ht="14.25" customHeight="1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97"/>
      <c r="AK118" s="97"/>
      <c r="AL118" s="97"/>
      <c r="AM118" s="97"/>
      <c r="AN118" s="97"/>
      <c r="AO118" s="97"/>
      <c r="AP118" s="97"/>
      <c r="AQ118" s="97"/>
      <c r="AR118" s="97"/>
      <c r="AS118" s="97"/>
      <c r="AT118" s="97"/>
      <c r="AU118" s="97"/>
      <c r="AV118" s="97"/>
      <c r="AW118" s="97"/>
      <c r="AX118" s="97"/>
      <c r="AY118" s="97"/>
      <c r="AZ118" s="97"/>
      <c r="BA118" s="97"/>
      <c r="BB118" s="97"/>
      <c r="BC118" s="97"/>
      <c r="BD118" s="97"/>
      <c r="BE118" s="97"/>
      <c r="BF118" s="97"/>
      <c r="BG118" s="97"/>
      <c r="BH118" s="97"/>
      <c r="BI118" s="97"/>
      <c r="BJ118" s="97"/>
      <c r="BK118" s="97"/>
      <c r="BL118" s="97"/>
      <c r="BM118" s="97"/>
      <c r="BN118" s="97"/>
      <c r="BO118" s="97"/>
      <c r="BP118" s="97"/>
      <c r="BQ118" s="97"/>
      <c r="BR118" s="97"/>
      <c r="BS118" s="97"/>
      <c r="BT118" s="97"/>
      <c r="BU118" s="97"/>
      <c r="BV118" s="97"/>
      <c r="BW118" s="97"/>
      <c r="BX118" s="97"/>
      <c r="BY118" s="97"/>
      <c r="BZ118" s="97"/>
      <c r="CA118" s="97"/>
      <c r="CB118" s="97"/>
      <c r="CC118" s="97"/>
      <c r="CD118" s="97"/>
      <c r="CE118" s="97"/>
      <c r="CF118" s="97"/>
      <c r="CG118" s="97"/>
      <c r="CH118" s="97"/>
      <c r="CI118" s="97"/>
      <c r="CJ118" s="97"/>
      <c r="CK118" s="97"/>
      <c r="CL118" s="97"/>
      <c r="CM118" s="97"/>
      <c r="CN118" s="97"/>
      <c r="CO118" s="97"/>
      <c r="CP118" s="97"/>
      <c r="CQ118" s="97"/>
      <c r="CR118" s="97"/>
      <c r="CS118" s="97"/>
      <c r="CT118" s="97"/>
      <c r="CU118" s="97"/>
      <c r="CV118" s="97"/>
      <c r="CW118" s="97"/>
      <c r="CX118" s="97"/>
      <c r="CY118" s="97"/>
      <c r="CZ118" s="97"/>
      <c r="DA118" s="97"/>
      <c r="DB118" s="97"/>
      <c r="DC118" s="97"/>
      <c r="DD118" s="97"/>
      <c r="DE118" s="97"/>
      <c r="DF118" s="97"/>
      <c r="DG118" s="97"/>
      <c r="DH118" s="97"/>
      <c r="DI118" s="97"/>
      <c r="DJ118" s="97"/>
      <c r="DK118" s="97"/>
      <c r="DL118" s="97"/>
      <c r="DM118" s="97"/>
      <c r="DN118" s="97"/>
      <c r="DO118" s="97"/>
      <c r="DP118" s="97"/>
      <c r="DQ118" s="97"/>
      <c r="DR118" s="97"/>
      <c r="DS118" s="97"/>
      <c r="DT118" s="97"/>
      <c r="DU118" s="97"/>
      <c r="DV118" s="97"/>
      <c r="DW118" s="97"/>
      <c r="DX118" s="97"/>
    </row>
    <row r="119" ht="14.25" customHeight="1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97"/>
      <c r="AK119" s="97"/>
      <c r="AL119" s="97"/>
      <c r="AM119" s="97"/>
      <c r="AN119" s="97"/>
      <c r="AO119" s="97"/>
      <c r="AP119" s="97"/>
      <c r="AQ119" s="97"/>
      <c r="AR119" s="97"/>
      <c r="AS119" s="97"/>
      <c r="AT119" s="97"/>
      <c r="AU119" s="97"/>
      <c r="AV119" s="97"/>
      <c r="AW119" s="97"/>
      <c r="AX119" s="97"/>
      <c r="AY119" s="97"/>
      <c r="AZ119" s="97"/>
      <c r="BA119" s="97"/>
      <c r="BB119" s="97"/>
      <c r="BC119" s="97"/>
      <c r="BD119" s="97"/>
      <c r="BE119" s="97"/>
      <c r="BF119" s="97"/>
      <c r="BG119" s="97"/>
      <c r="BH119" s="97"/>
      <c r="BI119" s="97"/>
      <c r="BJ119" s="97"/>
      <c r="BK119" s="97"/>
      <c r="BL119" s="97"/>
      <c r="BM119" s="97"/>
      <c r="BN119" s="97"/>
      <c r="BO119" s="97"/>
      <c r="BP119" s="97"/>
      <c r="BQ119" s="97"/>
      <c r="BR119" s="97"/>
      <c r="BS119" s="97"/>
      <c r="BT119" s="97"/>
      <c r="BU119" s="97"/>
      <c r="BV119" s="97"/>
      <c r="BW119" s="97"/>
      <c r="BX119" s="97"/>
      <c r="BY119" s="97"/>
      <c r="BZ119" s="97"/>
      <c r="CA119" s="97"/>
      <c r="CB119" s="97"/>
      <c r="CC119" s="97"/>
      <c r="CD119" s="97"/>
      <c r="CE119" s="97"/>
      <c r="CF119" s="97"/>
      <c r="CG119" s="97"/>
      <c r="CH119" s="97"/>
      <c r="CI119" s="97"/>
      <c r="CJ119" s="97"/>
      <c r="CK119" s="97"/>
      <c r="CL119" s="97"/>
      <c r="CM119" s="97"/>
      <c r="CN119" s="97"/>
      <c r="CO119" s="97"/>
      <c r="CP119" s="97"/>
      <c r="CQ119" s="97"/>
      <c r="CR119" s="97"/>
      <c r="CS119" s="97"/>
      <c r="CT119" s="97"/>
      <c r="CU119" s="97"/>
      <c r="CV119" s="97"/>
      <c r="CW119" s="97"/>
      <c r="CX119" s="97"/>
      <c r="CY119" s="97"/>
      <c r="CZ119" s="97"/>
      <c r="DA119" s="97"/>
      <c r="DB119" s="97"/>
      <c r="DC119" s="97"/>
      <c r="DD119" s="97"/>
      <c r="DE119" s="97"/>
      <c r="DF119" s="97"/>
      <c r="DG119" s="97"/>
      <c r="DH119" s="97"/>
      <c r="DI119" s="97"/>
      <c r="DJ119" s="97"/>
      <c r="DK119" s="97"/>
      <c r="DL119" s="97"/>
      <c r="DM119" s="97"/>
      <c r="DN119" s="97"/>
      <c r="DO119" s="97"/>
      <c r="DP119" s="97"/>
      <c r="DQ119" s="97"/>
      <c r="DR119" s="97"/>
      <c r="DS119" s="97"/>
      <c r="DT119" s="97"/>
      <c r="DU119" s="97"/>
      <c r="DV119" s="97"/>
      <c r="DW119" s="97"/>
      <c r="DX119" s="97"/>
    </row>
    <row r="120" ht="14.25" customHeight="1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97"/>
      <c r="AK120" s="97"/>
      <c r="AL120" s="97"/>
      <c r="AM120" s="97"/>
      <c r="AN120" s="97"/>
      <c r="AO120" s="97"/>
      <c r="AP120" s="97"/>
      <c r="AQ120" s="97"/>
      <c r="AR120" s="97"/>
      <c r="AS120" s="97"/>
      <c r="AT120" s="97"/>
      <c r="AU120" s="97"/>
      <c r="AV120" s="97"/>
      <c r="AW120" s="97"/>
      <c r="AX120" s="97"/>
      <c r="AY120" s="97"/>
      <c r="AZ120" s="97"/>
      <c r="BA120" s="97"/>
      <c r="BB120" s="97"/>
      <c r="BC120" s="97"/>
      <c r="BD120" s="97"/>
      <c r="BE120" s="97"/>
      <c r="BF120" s="97"/>
      <c r="BG120" s="97"/>
      <c r="BH120" s="97"/>
      <c r="BI120" s="97"/>
      <c r="BJ120" s="97"/>
      <c r="BK120" s="97"/>
      <c r="BL120" s="97"/>
      <c r="BM120" s="97"/>
      <c r="BN120" s="97"/>
      <c r="BO120" s="97"/>
      <c r="BP120" s="97"/>
      <c r="BQ120" s="97"/>
      <c r="BR120" s="97"/>
      <c r="BS120" s="97"/>
      <c r="BT120" s="97"/>
      <c r="BU120" s="97"/>
      <c r="BV120" s="97"/>
      <c r="BW120" s="97"/>
      <c r="BX120" s="97"/>
      <c r="BY120" s="97"/>
      <c r="BZ120" s="97"/>
      <c r="CA120" s="97"/>
      <c r="CB120" s="97"/>
      <c r="CC120" s="97"/>
      <c r="CD120" s="97"/>
      <c r="CE120" s="97"/>
      <c r="CF120" s="97"/>
      <c r="CG120" s="97"/>
      <c r="CH120" s="97"/>
      <c r="CI120" s="97"/>
      <c r="CJ120" s="97"/>
      <c r="CK120" s="97"/>
      <c r="CL120" s="97"/>
      <c r="CM120" s="97"/>
      <c r="CN120" s="97"/>
      <c r="CO120" s="97"/>
      <c r="CP120" s="97"/>
      <c r="CQ120" s="97"/>
      <c r="CR120" s="97"/>
      <c r="CS120" s="97"/>
      <c r="CT120" s="97"/>
      <c r="CU120" s="97"/>
      <c r="CV120" s="97"/>
      <c r="CW120" s="97"/>
      <c r="CX120" s="97"/>
      <c r="CY120" s="97"/>
      <c r="CZ120" s="97"/>
      <c r="DA120" s="97"/>
      <c r="DB120" s="97"/>
      <c r="DC120" s="97"/>
      <c r="DD120" s="97"/>
      <c r="DE120" s="97"/>
      <c r="DF120" s="97"/>
      <c r="DG120" s="97"/>
      <c r="DH120" s="97"/>
      <c r="DI120" s="97"/>
      <c r="DJ120" s="97"/>
      <c r="DK120" s="97"/>
      <c r="DL120" s="97"/>
      <c r="DM120" s="97"/>
      <c r="DN120" s="97"/>
      <c r="DO120" s="97"/>
      <c r="DP120" s="97"/>
      <c r="DQ120" s="97"/>
      <c r="DR120" s="97"/>
      <c r="DS120" s="97"/>
      <c r="DT120" s="97"/>
      <c r="DU120" s="97"/>
      <c r="DV120" s="97"/>
      <c r="DW120" s="97"/>
      <c r="DX120" s="97"/>
    </row>
    <row r="121" ht="14.25" customHeight="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97"/>
      <c r="AH121" s="97"/>
      <c r="AI121" s="97"/>
      <c r="AJ121" s="97"/>
      <c r="AK121" s="97"/>
      <c r="AL121" s="97"/>
      <c r="AM121" s="97"/>
      <c r="AN121" s="97"/>
      <c r="AO121" s="97"/>
      <c r="AP121" s="97"/>
      <c r="AQ121" s="97"/>
      <c r="AR121" s="97"/>
      <c r="AS121" s="97"/>
      <c r="AT121" s="97"/>
      <c r="AU121" s="97"/>
      <c r="AV121" s="97"/>
      <c r="AW121" s="97"/>
      <c r="AX121" s="97"/>
      <c r="AY121" s="97"/>
      <c r="AZ121" s="97"/>
      <c r="BA121" s="97"/>
      <c r="BB121" s="97"/>
      <c r="BC121" s="97"/>
      <c r="BD121" s="97"/>
      <c r="BE121" s="97"/>
      <c r="BF121" s="97"/>
      <c r="BG121" s="97"/>
      <c r="BH121" s="97"/>
      <c r="BI121" s="97"/>
      <c r="BJ121" s="97"/>
      <c r="BK121" s="97"/>
      <c r="BL121" s="97"/>
      <c r="BM121" s="97"/>
      <c r="BN121" s="97"/>
      <c r="BO121" s="97"/>
      <c r="BP121" s="97"/>
      <c r="BQ121" s="97"/>
      <c r="BR121" s="97"/>
      <c r="BS121" s="97"/>
      <c r="BT121" s="97"/>
      <c r="BU121" s="97"/>
      <c r="BV121" s="97"/>
      <c r="BW121" s="97"/>
      <c r="BX121" s="97"/>
      <c r="BY121" s="97"/>
      <c r="BZ121" s="97"/>
      <c r="CA121" s="97"/>
      <c r="CB121" s="97"/>
      <c r="CC121" s="97"/>
      <c r="CD121" s="97"/>
      <c r="CE121" s="97"/>
      <c r="CF121" s="97"/>
      <c r="CG121" s="97"/>
      <c r="CH121" s="97"/>
      <c r="CI121" s="97"/>
      <c r="CJ121" s="97"/>
      <c r="CK121" s="97"/>
      <c r="CL121" s="97"/>
      <c r="CM121" s="97"/>
      <c r="CN121" s="97"/>
      <c r="CO121" s="97"/>
      <c r="CP121" s="97"/>
      <c r="CQ121" s="97"/>
      <c r="CR121" s="97"/>
      <c r="CS121" s="97"/>
      <c r="CT121" s="97"/>
      <c r="CU121" s="97"/>
      <c r="CV121" s="97"/>
      <c r="CW121" s="97"/>
      <c r="CX121" s="97"/>
      <c r="CY121" s="97"/>
      <c r="CZ121" s="97"/>
      <c r="DA121" s="97"/>
      <c r="DB121" s="97"/>
      <c r="DC121" s="97"/>
      <c r="DD121" s="97"/>
      <c r="DE121" s="97"/>
      <c r="DF121" s="97"/>
      <c r="DG121" s="97"/>
      <c r="DH121" s="97"/>
      <c r="DI121" s="97"/>
      <c r="DJ121" s="97"/>
      <c r="DK121" s="97"/>
      <c r="DL121" s="97"/>
      <c r="DM121" s="97"/>
      <c r="DN121" s="97"/>
      <c r="DO121" s="97"/>
      <c r="DP121" s="97"/>
      <c r="DQ121" s="97"/>
      <c r="DR121" s="97"/>
      <c r="DS121" s="97"/>
      <c r="DT121" s="97"/>
      <c r="DU121" s="97"/>
      <c r="DV121" s="97"/>
      <c r="DW121" s="97"/>
      <c r="DX121" s="97"/>
    </row>
    <row r="122" ht="14.25" customHeight="1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97"/>
      <c r="AB122" s="97"/>
      <c r="AC122" s="97"/>
      <c r="AD122" s="97"/>
      <c r="AE122" s="97"/>
      <c r="AF122" s="97"/>
      <c r="AG122" s="97"/>
      <c r="AH122" s="97"/>
      <c r="AI122" s="97"/>
      <c r="AJ122" s="97"/>
      <c r="AK122" s="97"/>
      <c r="AL122" s="97"/>
      <c r="AM122" s="97"/>
      <c r="AN122" s="97"/>
      <c r="AO122" s="97"/>
      <c r="AP122" s="97"/>
      <c r="AQ122" s="97"/>
      <c r="AR122" s="97"/>
      <c r="AS122" s="97"/>
      <c r="AT122" s="97"/>
      <c r="AU122" s="97"/>
      <c r="AV122" s="97"/>
      <c r="AW122" s="97"/>
      <c r="AX122" s="97"/>
      <c r="AY122" s="97"/>
      <c r="AZ122" s="97"/>
      <c r="BA122" s="97"/>
      <c r="BB122" s="97"/>
      <c r="BC122" s="97"/>
      <c r="BD122" s="97"/>
      <c r="BE122" s="97"/>
      <c r="BF122" s="97"/>
      <c r="BG122" s="97"/>
      <c r="BH122" s="97"/>
      <c r="BI122" s="97"/>
      <c r="BJ122" s="97"/>
      <c r="BK122" s="97"/>
      <c r="BL122" s="97"/>
      <c r="BM122" s="97"/>
      <c r="BN122" s="97"/>
      <c r="BO122" s="97"/>
      <c r="BP122" s="97"/>
      <c r="BQ122" s="97"/>
      <c r="BR122" s="97"/>
      <c r="BS122" s="97"/>
      <c r="BT122" s="97"/>
      <c r="BU122" s="97"/>
      <c r="BV122" s="97"/>
      <c r="BW122" s="97"/>
      <c r="BX122" s="97"/>
      <c r="BY122" s="97"/>
      <c r="BZ122" s="97"/>
      <c r="CA122" s="97"/>
      <c r="CB122" s="97"/>
      <c r="CC122" s="97"/>
      <c r="CD122" s="97"/>
      <c r="CE122" s="97"/>
      <c r="CF122" s="97"/>
      <c r="CG122" s="97"/>
      <c r="CH122" s="97"/>
      <c r="CI122" s="97"/>
      <c r="CJ122" s="97"/>
      <c r="CK122" s="97"/>
      <c r="CL122" s="97"/>
      <c r="CM122" s="97"/>
      <c r="CN122" s="97"/>
      <c r="CO122" s="97"/>
      <c r="CP122" s="97"/>
      <c r="CQ122" s="97"/>
      <c r="CR122" s="97"/>
      <c r="CS122" s="97"/>
      <c r="CT122" s="97"/>
      <c r="CU122" s="97"/>
      <c r="CV122" s="97"/>
      <c r="CW122" s="97"/>
      <c r="CX122" s="97"/>
      <c r="CY122" s="97"/>
      <c r="CZ122" s="97"/>
      <c r="DA122" s="97"/>
      <c r="DB122" s="97"/>
      <c r="DC122" s="97"/>
      <c r="DD122" s="97"/>
      <c r="DE122" s="97"/>
      <c r="DF122" s="97"/>
      <c r="DG122" s="97"/>
      <c r="DH122" s="97"/>
      <c r="DI122" s="97"/>
      <c r="DJ122" s="97"/>
      <c r="DK122" s="97"/>
      <c r="DL122" s="97"/>
      <c r="DM122" s="97"/>
      <c r="DN122" s="97"/>
      <c r="DO122" s="97"/>
      <c r="DP122" s="97"/>
      <c r="DQ122" s="97"/>
      <c r="DR122" s="97"/>
      <c r="DS122" s="97"/>
      <c r="DT122" s="97"/>
      <c r="DU122" s="97"/>
      <c r="DV122" s="97"/>
      <c r="DW122" s="97"/>
      <c r="DX122" s="97"/>
    </row>
    <row r="123" ht="14.25" customHeight="1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7"/>
      <c r="AH123" s="97"/>
      <c r="AI123" s="97"/>
      <c r="AJ123" s="97"/>
      <c r="AK123" s="97"/>
      <c r="AL123" s="97"/>
      <c r="AM123" s="97"/>
      <c r="AN123" s="97"/>
      <c r="AO123" s="97"/>
      <c r="AP123" s="97"/>
      <c r="AQ123" s="97"/>
      <c r="AR123" s="97"/>
      <c r="AS123" s="97"/>
      <c r="AT123" s="97"/>
      <c r="AU123" s="97"/>
      <c r="AV123" s="97"/>
      <c r="AW123" s="97"/>
      <c r="AX123" s="97"/>
      <c r="AY123" s="97"/>
      <c r="AZ123" s="97"/>
      <c r="BA123" s="97"/>
      <c r="BB123" s="97"/>
      <c r="BC123" s="97"/>
      <c r="BD123" s="97"/>
      <c r="BE123" s="97"/>
      <c r="BF123" s="97"/>
      <c r="BG123" s="97"/>
      <c r="BH123" s="97"/>
      <c r="BI123" s="97"/>
      <c r="BJ123" s="97"/>
      <c r="BK123" s="97"/>
      <c r="BL123" s="97"/>
      <c r="BM123" s="97"/>
      <c r="BN123" s="97"/>
      <c r="BO123" s="97"/>
      <c r="BP123" s="97"/>
      <c r="BQ123" s="97"/>
      <c r="BR123" s="97"/>
      <c r="BS123" s="97"/>
      <c r="BT123" s="97"/>
      <c r="BU123" s="97"/>
      <c r="BV123" s="97"/>
      <c r="BW123" s="97"/>
      <c r="BX123" s="97"/>
      <c r="BY123" s="97"/>
      <c r="BZ123" s="97"/>
      <c r="CA123" s="97"/>
      <c r="CB123" s="97"/>
      <c r="CC123" s="97"/>
      <c r="CD123" s="97"/>
      <c r="CE123" s="97"/>
      <c r="CF123" s="97"/>
      <c r="CG123" s="97"/>
      <c r="CH123" s="97"/>
      <c r="CI123" s="97"/>
      <c r="CJ123" s="97"/>
      <c r="CK123" s="97"/>
      <c r="CL123" s="97"/>
      <c r="CM123" s="97"/>
      <c r="CN123" s="97"/>
      <c r="CO123" s="97"/>
      <c r="CP123" s="97"/>
      <c r="CQ123" s="97"/>
      <c r="CR123" s="97"/>
      <c r="CS123" s="97"/>
      <c r="CT123" s="97"/>
      <c r="CU123" s="97"/>
      <c r="CV123" s="97"/>
      <c r="CW123" s="97"/>
      <c r="CX123" s="97"/>
      <c r="CY123" s="97"/>
      <c r="CZ123" s="97"/>
      <c r="DA123" s="97"/>
      <c r="DB123" s="97"/>
      <c r="DC123" s="97"/>
      <c r="DD123" s="97"/>
      <c r="DE123" s="97"/>
      <c r="DF123" s="97"/>
      <c r="DG123" s="97"/>
      <c r="DH123" s="97"/>
      <c r="DI123" s="97"/>
      <c r="DJ123" s="97"/>
      <c r="DK123" s="97"/>
      <c r="DL123" s="97"/>
      <c r="DM123" s="97"/>
      <c r="DN123" s="97"/>
      <c r="DO123" s="97"/>
      <c r="DP123" s="97"/>
      <c r="DQ123" s="97"/>
      <c r="DR123" s="97"/>
      <c r="DS123" s="97"/>
      <c r="DT123" s="97"/>
      <c r="DU123" s="97"/>
      <c r="DV123" s="97"/>
      <c r="DW123" s="97"/>
      <c r="DX123" s="97"/>
    </row>
    <row r="124" ht="14.25" customHeight="1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97"/>
      <c r="AK124" s="97"/>
      <c r="AL124" s="97"/>
      <c r="AM124" s="97"/>
      <c r="AN124" s="97"/>
      <c r="AO124" s="97"/>
      <c r="AP124" s="97"/>
      <c r="AQ124" s="97"/>
      <c r="AR124" s="97"/>
      <c r="AS124" s="97"/>
      <c r="AT124" s="97"/>
      <c r="AU124" s="97"/>
      <c r="AV124" s="97"/>
      <c r="AW124" s="97"/>
      <c r="AX124" s="97"/>
      <c r="AY124" s="97"/>
      <c r="AZ124" s="97"/>
      <c r="BA124" s="97"/>
      <c r="BB124" s="97"/>
      <c r="BC124" s="97"/>
      <c r="BD124" s="97"/>
      <c r="BE124" s="97"/>
      <c r="BF124" s="97"/>
      <c r="BG124" s="97"/>
      <c r="BH124" s="97"/>
      <c r="BI124" s="97"/>
      <c r="BJ124" s="97"/>
      <c r="BK124" s="97"/>
      <c r="BL124" s="97"/>
      <c r="BM124" s="97"/>
      <c r="BN124" s="97"/>
      <c r="BO124" s="97"/>
      <c r="BP124" s="97"/>
      <c r="BQ124" s="97"/>
      <c r="BR124" s="97"/>
      <c r="BS124" s="97"/>
      <c r="BT124" s="97"/>
      <c r="BU124" s="97"/>
      <c r="BV124" s="97"/>
      <c r="BW124" s="97"/>
      <c r="BX124" s="97"/>
      <c r="BY124" s="97"/>
      <c r="BZ124" s="97"/>
      <c r="CA124" s="97"/>
      <c r="CB124" s="97"/>
      <c r="CC124" s="97"/>
      <c r="CD124" s="97"/>
      <c r="CE124" s="97"/>
      <c r="CF124" s="97"/>
      <c r="CG124" s="97"/>
      <c r="CH124" s="97"/>
      <c r="CI124" s="97"/>
      <c r="CJ124" s="97"/>
      <c r="CK124" s="97"/>
      <c r="CL124" s="97"/>
      <c r="CM124" s="97"/>
      <c r="CN124" s="97"/>
      <c r="CO124" s="97"/>
      <c r="CP124" s="97"/>
      <c r="CQ124" s="97"/>
      <c r="CR124" s="97"/>
      <c r="CS124" s="97"/>
      <c r="CT124" s="97"/>
      <c r="CU124" s="97"/>
      <c r="CV124" s="97"/>
      <c r="CW124" s="97"/>
      <c r="CX124" s="97"/>
      <c r="CY124" s="97"/>
      <c r="CZ124" s="97"/>
      <c r="DA124" s="97"/>
      <c r="DB124" s="97"/>
      <c r="DC124" s="97"/>
      <c r="DD124" s="97"/>
      <c r="DE124" s="97"/>
      <c r="DF124" s="97"/>
      <c r="DG124" s="97"/>
      <c r="DH124" s="97"/>
      <c r="DI124" s="97"/>
      <c r="DJ124" s="97"/>
      <c r="DK124" s="97"/>
      <c r="DL124" s="97"/>
      <c r="DM124" s="97"/>
      <c r="DN124" s="97"/>
      <c r="DO124" s="97"/>
      <c r="DP124" s="97"/>
      <c r="DQ124" s="97"/>
      <c r="DR124" s="97"/>
      <c r="DS124" s="97"/>
      <c r="DT124" s="97"/>
      <c r="DU124" s="97"/>
      <c r="DV124" s="97"/>
      <c r="DW124" s="97"/>
      <c r="DX124" s="97"/>
    </row>
    <row r="125" ht="14.25" customHeight="1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97"/>
      <c r="AK125" s="97"/>
      <c r="AL125" s="97"/>
      <c r="AM125" s="97"/>
      <c r="AN125" s="97"/>
      <c r="AO125" s="97"/>
      <c r="AP125" s="97"/>
      <c r="AQ125" s="97"/>
      <c r="AR125" s="97"/>
      <c r="AS125" s="97"/>
      <c r="AT125" s="97"/>
      <c r="AU125" s="97"/>
      <c r="AV125" s="97"/>
      <c r="AW125" s="97"/>
      <c r="AX125" s="97"/>
      <c r="AY125" s="97"/>
      <c r="AZ125" s="97"/>
      <c r="BA125" s="97"/>
      <c r="BB125" s="97"/>
      <c r="BC125" s="97"/>
      <c r="BD125" s="97"/>
      <c r="BE125" s="97"/>
      <c r="BF125" s="97"/>
      <c r="BG125" s="97"/>
      <c r="BH125" s="97"/>
      <c r="BI125" s="97"/>
      <c r="BJ125" s="97"/>
      <c r="BK125" s="97"/>
      <c r="BL125" s="97"/>
      <c r="BM125" s="97"/>
      <c r="BN125" s="97"/>
      <c r="BO125" s="97"/>
      <c r="BP125" s="97"/>
      <c r="BQ125" s="97"/>
      <c r="BR125" s="97"/>
      <c r="BS125" s="97"/>
      <c r="BT125" s="97"/>
      <c r="BU125" s="97"/>
      <c r="BV125" s="97"/>
      <c r="BW125" s="97"/>
      <c r="BX125" s="97"/>
      <c r="BY125" s="97"/>
      <c r="BZ125" s="97"/>
      <c r="CA125" s="97"/>
      <c r="CB125" s="97"/>
      <c r="CC125" s="97"/>
      <c r="CD125" s="97"/>
      <c r="CE125" s="97"/>
      <c r="CF125" s="97"/>
      <c r="CG125" s="97"/>
      <c r="CH125" s="97"/>
      <c r="CI125" s="97"/>
      <c r="CJ125" s="97"/>
      <c r="CK125" s="97"/>
      <c r="CL125" s="97"/>
      <c r="CM125" s="97"/>
      <c r="CN125" s="97"/>
      <c r="CO125" s="97"/>
      <c r="CP125" s="97"/>
      <c r="CQ125" s="97"/>
      <c r="CR125" s="97"/>
      <c r="CS125" s="97"/>
      <c r="CT125" s="97"/>
      <c r="CU125" s="97"/>
      <c r="CV125" s="97"/>
      <c r="CW125" s="97"/>
      <c r="CX125" s="97"/>
      <c r="CY125" s="97"/>
      <c r="CZ125" s="97"/>
      <c r="DA125" s="97"/>
      <c r="DB125" s="97"/>
      <c r="DC125" s="97"/>
      <c r="DD125" s="97"/>
      <c r="DE125" s="97"/>
      <c r="DF125" s="97"/>
      <c r="DG125" s="97"/>
      <c r="DH125" s="97"/>
      <c r="DI125" s="97"/>
      <c r="DJ125" s="97"/>
      <c r="DK125" s="97"/>
      <c r="DL125" s="97"/>
      <c r="DM125" s="97"/>
      <c r="DN125" s="97"/>
      <c r="DO125" s="97"/>
      <c r="DP125" s="97"/>
      <c r="DQ125" s="97"/>
      <c r="DR125" s="97"/>
      <c r="DS125" s="97"/>
      <c r="DT125" s="97"/>
      <c r="DU125" s="97"/>
      <c r="DV125" s="97"/>
      <c r="DW125" s="97"/>
      <c r="DX125" s="97"/>
    </row>
    <row r="126" ht="14.25" customHeight="1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97"/>
      <c r="AK126" s="97"/>
      <c r="AL126" s="97"/>
      <c r="AM126" s="97"/>
      <c r="AN126" s="97"/>
      <c r="AO126" s="97"/>
      <c r="AP126" s="97"/>
      <c r="AQ126" s="97"/>
      <c r="AR126" s="97"/>
      <c r="AS126" s="97"/>
      <c r="AT126" s="97"/>
      <c r="AU126" s="97"/>
      <c r="AV126" s="97"/>
      <c r="AW126" s="97"/>
      <c r="AX126" s="97"/>
      <c r="AY126" s="97"/>
      <c r="AZ126" s="97"/>
      <c r="BA126" s="97"/>
      <c r="BB126" s="97"/>
      <c r="BC126" s="97"/>
      <c r="BD126" s="97"/>
      <c r="BE126" s="97"/>
      <c r="BF126" s="97"/>
      <c r="BG126" s="97"/>
      <c r="BH126" s="97"/>
      <c r="BI126" s="97"/>
      <c r="BJ126" s="97"/>
      <c r="BK126" s="97"/>
      <c r="BL126" s="97"/>
      <c r="BM126" s="97"/>
      <c r="BN126" s="97"/>
      <c r="BO126" s="97"/>
      <c r="BP126" s="97"/>
      <c r="BQ126" s="97"/>
      <c r="BR126" s="97"/>
      <c r="BS126" s="97"/>
      <c r="BT126" s="97"/>
      <c r="BU126" s="97"/>
      <c r="BV126" s="97"/>
      <c r="BW126" s="97"/>
      <c r="BX126" s="97"/>
      <c r="BY126" s="97"/>
      <c r="BZ126" s="97"/>
      <c r="CA126" s="97"/>
      <c r="CB126" s="97"/>
      <c r="CC126" s="97"/>
      <c r="CD126" s="97"/>
      <c r="CE126" s="97"/>
      <c r="CF126" s="97"/>
      <c r="CG126" s="97"/>
      <c r="CH126" s="97"/>
      <c r="CI126" s="97"/>
      <c r="CJ126" s="97"/>
      <c r="CK126" s="97"/>
      <c r="CL126" s="97"/>
      <c r="CM126" s="97"/>
      <c r="CN126" s="97"/>
      <c r="CO126" s="97"/>
      <c r="CP126" s="97"/>
      <c r="CQ126" s="97"/>
      <c r="CR126" s="97"/>
      <c r="CS126" s="97"/>
      <c r="CT126" s="97"/>
      <c r="CU126" s="97"/>
      <c r="CV126" s="97"/>
      <c r="CW126" s="97"/>
      <c r="CX126" s="97"/>
      <c r="CY126" s="97"/>
      <c r="CZ126" s="97"/>
      <c r="DA126" s="97"/>
      <c r="DB126" s="97"/>
      <c r="DC126" s="97"/>
      <c r="DD126" s="97"/>
      <c r="DE126" s="97"/>
      <c r="DF126" s="97"/>
      <c r="DG126" s="97"/>
      <c r="DH126" s="97"/>
      <c r="DI126" s="97"/>
      <c r="DJ126" s="97"/>
      <c r="DK126" s="97"/>
      <c r="DL126" s="97"/>
      <c r="DM126" s="97"/>
      <c r="DN126" s="97"/>
      <c r="DO126" s="97"/>
      <c r="DP126" s="97"/>
      <c r="DQ126" s="97"/>
      <c r="DR126" s="97"/>
      <c r="DS126" s="97"/>
      <c r="DT126" s="97"/>
      <c r="DU126" s="97"/>
      <c r="DV126" s="97"/>
      <c r="DW126" s="97"/>
      <c r="DX126" s="97"/>
    </row>
    <row r="127" ht="14.25" customHeight="1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97"/>
      <c r="AK127" s="97"/>
      <c r="AL127" s="97"/>
      <c r="AM127" s="97"/>
      <c r="AN127" s="97"/>
      <c r="AO127" s="97"/>
      <c r="AP127" s="97"/>
      <c r="AQ127" s="97"/>
      <c r="AR127" s="97"/>
      <c r="AS127" s="97"/>
      <c r="AT127" s="97"/>
      <c r="AU127" s="97"/>
      <c r="AV127" s="97"/>
      <c r="AW127" s="97"/>
      <c r="AX127" s="97"/>
      <c r="AY127" s="97"/>
      <c r="AZ127" s="97"/>
      <c r="BA127" s="97"/>
      <c r="BB127" s="97"/>
      <c r="BC127" s="97"/>
      <c r="BD127" s="97"/>
      <c r="BE127" s="97"/>
      <c r="BF127" s="97"/>
      <c r="BG127" s="97"/>
      <c r="BH127" s="97"/>
      <c r="BI127" s="97"/>
      <c r="BJ127" s="97"/>
      <c r="BK127" s="97"/>
      <c r="BL127" s="97"/>
      <c r="BM127" s="97"/>
      <c r="BN127" s="97"/>
      <c r="BO127" s="97"/>
      <c r="BP127" s="97"/>
      <c r="BQ127" s="97"/>
      <c r="BR127" s="97"/>
      <c r="BS127" s="97"/>
      <c r="BT127" s="97"/>
      <c r="BU127" s="97"/>
      <c r="BV127" s="97"/>
      <c r="BW127" s="97"/>
      <c r="BX127" s="97"/>
      <c r="BY127" s="97"/>
      <c r="BZ127" s="97"/>
      <c r="CA127" s="97"/>
      <c r="CB127" s="97"/>
      <c r="CC127" s="97"/>
      <c r="CD127" s="97"/>
      <c r="CE127" s="97"/>
      <c r="CF127" s="97"/>
      <c r="CG127" s="97"/>
      <c r="CH127" s="97"/>
      <c r="CI127" s="97"/>
      <c r="CJ127" s="97"/>
      <c r="CK127" s="97"/>
      <c r="CL127" s="97"/>
      <c r="CM127" s="97"/>
      <c r="CN127" s="97"/>
      <c r="CO127" s="97"/>
      <c r="CP127" s="97"/>
      <c r="CQ127" s="97"/>
      <c r="CR127" s="97"/>
      <c r="CS127" s="97"/>
      <c r="CT127" s="97"/>
      <c r="CU127" s="97"/>
      <c r="CV127" s="97"/>
      <c r="CW127" s="97"/>
      <c r="CX127" s="97"/>
      <c r="CY127" s="97"/>
      <c r="CZ127" s="97"/>
      <c r="DA127" s="97"/>
      <c r="DB127" s="97"/>
      <c r="DC127" s="97"/>
      <c r="DD127" s="97"/>
      <c r="DE127" s="97"/>
      <c r="DF127" s="97"/>
      <c r="DG127" s="97"/>
      <c r="DH127" s="97"/>
      <c r="DI127" s="97"/>
      <c r="DJ127" s="97"/>
      <c r="DK127" s="97"/>
      <c r="DL127" s="97"/>
      <c r="DM127" s="97"/>
      <c r="DN127" s="97"/>
      <c r="DO127" s="97"/>
      <c r="DP127" s="97"/>
      <c r="DQ127" s="97"/>
      <c r="DR127" s="97"/>
      <c r="DS127" s="97"/>
      <c r="DT127" s="97"/>
      <c r="DU127" s="97"/>
      <c r="DV127" s="97"/>
      <c r="DW127" s="97"/>
      <c r="DX127" s="97"/>
    </row>
    <row r="128" ht="14.25" customHeight="1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97"/>
      <c r="AK128" s="97"/>
      <c r="AL128" s="97"/>
      <c r="AM128" s="97"/>
      <c r="AN128" s="97"/>
      <c r="AO128" s="97"/>
      <c r="AP128" s="97"/>
      <c r="AQ128" s="97"/>
      <c r="AR128" s="97"/>
      <c r="AS128" s="97"/>
      <c r="AT128" s="97"/>
      <c r="AU128" s="97"/>
      <c r="AV128" s="97"/>
      <c r="AW128" s="97"/>
      <c r="AX128" s="97"/>
      <c r="AY128" s="97"/>
      <c r="AZ128" s="97"/>
      <c r="BA128" s="97"/>
      <c r="BB128" s="97"/>
      <c r="BC128" s="97"/>
      <c r="BD128" s="97"/>
      <c r="BE128" s="97"/>
      <c r="BF128" s="97"/>
      <c r="BG128" s="97"/>
      <c r="BH128" s="97"/>
      <c r="BI128" s="97"/>
      <c r="BJ128" s="97"/>
      <c r="BK128" s="97"/>
      <c r="BL128" s="97"/>
      <c r="BM128" s="97"/>
      <c r="BN128" s="97"/>
      <c r="BO128" s="97"/>
      <c r="BP128" s="97"/>
      <c r="BQ128" s="97"/>
      <c r="BR128" s="97"/>
      <c r="BS128" s="97"/>
      <c r="BT128" s="97"/>
      <c r="BU128" s="97"/>
      <c r="BV128" s="97"/>
      <c r="BW128" s="97"/>
      <c r="BX128" s="97"/>
      <c r="BY128" s="97"/>
      <c r="BZ128" s="97"/>
      <c r="CA128" s="97"/>
      <c r="CB128" s="97"/>
      <c r="CC128" s="97"/>
      <c r="CD128" s="97"/>
      <c r="CE128" s="97"/>
      <c r="CF128" s="97"/>
      <c r="CG128" s="97"/>
      <c r="CH128" s="97"/>
      <c r="CI128" s="97"/>
      <c r="CJ128" s="97"/>
      <c r="CK128" s="97"/>
      <c r="CL128" s="97"/>
      <c r="CM128" s="97"/>
      <c r="CN128" s="97"/>
      <c r="CO128" s="97"/>
      <c r="CP128" s="97"/>
      <c r="CQ128" s="97"/>
      <c r="CR128" s="97"/>
      <c r="CS128" s="97"/>
      <c r="CT128" s="97"/>
      <c r="CU128" s="97"/>
      <c r="CV128" s="97"/>
      <c r="CW128" s="97"/>
      <c r="CX128" s="97"/>
      <c r="CY128" s="97"/>
      <c r="CZ128" s="97"/>
      <c r="DA128" s="97"/>
      <c r="DB128" s="97"/>
      <c r="DC128" s="97"/>
      <c r="DD128" s="97"/>
      <c r="DE128" s="97"/>
      <c r="DF128" s="97"/>
      <c r="DG128" s="97"/>
      <c r="DH128" s="97"/>
      <c r="DI128" s="97"/>
      <c r="DJ128" s="97"/>
      <c r="DK128" s="97"/>
      <c r="DL128" s="97"/>
      <c r="DM128" s="97"/>
      <c r="DN128" s="97"/>
      <c r="DO128" s="97"/>
      <c r="DP128" s="97"/>
      <c r="DQ128" s="97"/>
      <c r="DR128" s="97"/>
      <c r="DS128" s="97"/>
      <c r="DT128" s="97"/>
      <c r="DU128" s="97"/>
      <c r="DV128" s="97"/>
      <c r="DW128" s="97"/>
      <c r="DX128" s="97"/>
    </row>
    <row r="129" ht="14.25" customHeight="1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97"/>
      <c r="AK129" s="97"/>
      <c r="AL129" s="97"/>
      <c r="AM129" s="97"/>
      <c r="AN129" s="97"/>
      <c r="AO129" s="97"/>
      <c r="AP129" s="97"/>
      <c r="AQ129" s="97"/>
      <c r="AR129" s="97"/>
      <c r="AS129" s="97"/>
      <c r="AT129" s="97"/>
      <c r="AU129" s="97"/>
      <c r="AV129" s="97"/>
      <c r="AW129" s="97"/>
      <c r="AX129" s="97"/>
      <c r="AY129" s="97"/>
      <c r="AZ129" s="97"/>
      <c r="BA129" s="97"/>
      <c r="BB129" s="97"/>
      <c r="BC129" s="97"/>
      <c r="BD129" s="97"/>
      <c r="BE129" s="97"/>
      <c r="BF129" s="97"/>
      <c r="BG129" s="97"/>
      <c r="BH129" s="97"/>
      <c r="BI129" s="97"/>
      <c r="BJ129" s="97"/>
      <c r="BK129" s="97"/>
      <c r="BL129" s="97"/>
      <c r="BM129" s="97"/>
      <c r="BN129" s="97"/>
      <c r="BO129" s="97"/>
      <c r="BP129" s="97"/>
      <c r="BQ129" s="97"/>
      <c r="BR129" s="97"/>
      <c r="BS129" s="97"/>
      <c r="BT129" s="97"/>
      <c r="BU129" s="97"/>
      <c r="BV129" s="97"/>
      <c r="BW129" s="97"/>
      <c r="BX129" s="97"/>
      <c r="BY129" s="97"/>
      <c r="BZ129" s="97"/>
      <c r="CA129" s="97"/>
      <c r="CB129" s="97"/>
      <c r="CC129" s="97"/>
      <c r="CD129" s="97"/>
      <c r="CE129" s="97"/>
      <c r="CF129" s="97"/>
      <c r="CG129" s="97"/>
      <c r="CH129" s="97"/>
      <c r="CI129" s="97"/>
      <c r="CJ129" s="97"/>
      <c r="CK129" s="97"/>
      <c r="CL129" s="97"/>
      <c r="CM129" s="97"/>
      <c r="CN129" s="97"/>
      <c r="CO129" s="97"/>
      <c r="CP129" s="97"/>
      <c r="CQ129" s="97"/>
      <c r="CR129" s="97"/>
      <c r="CS129" s="97"/>
      <c r="CT129" s="97"/>
      <c r="CU129" s="97"/>
      <c r="CV129" s="97"/>
      <c r="CW129" s="97"/>
      <c r="CX129" s="97"/>
      <c r="CY129" s="97"/>
      <c r="CZ129" s="97"/>
      <c r="DA129" s="97"/>
      <c r="DB129" s="97"/>
      <c r="DC129" s="97"/>
      <c r="DD129" s="97"/>
      <c r="DE129" s="97"/>
      <c r="DF129" s="97"/>
      <c r="DG129" s="97"/>
      <c r="DH129" s="97"/>
      <c r="DI129" s="97"/>
      <c r="DJ129" s="97"/>
      <c r="DK129" s="97"/>
      <c r="DL129" s="97"/>
      <c r="DM129" s="97"/>
      <c r="DN129" s="97"/>
      <c r="DO129" s="97"/>
      <c r="DP129" s="97"/>
      <c r="DQ129" s="97"/>
      <c r="DR129" s="97"/>
      <c r="DS129" s="97"/>
      <c r="DT129" s="97"/>
      <c r="DU129" s="97"/>
      <c r="DV129" s="97"/>
      <c r="DW129" s="97"/>
      <c r="DX129" s="97"/>
    </row>
    <row r="130" ht="14.25" customHeight="1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97"/>
      <c r="AK130" s="97"/>
      <c r="AL130" s="97"/>
      <c r="AM130" s="97"/>
      <c r="AN130" s="97"/>
      <c r="AO130" s="97"/>
      <c r="AP130" s="97"/>
      <c r="AQ130" s="97"/>
      <c r="AR130" s="97"/>
      <c r="AS130" s="97"/>
      <c r="AT130" s="97"/>
      <c r="AU130" s="97"/>
      <c r="AV130" s="97"/>
      <c r="AW130" s="97"/>
      <c r="AX130" s="97"/>
      <c r="AY130" s="97"/>
      <c r="AZ130" s="97"/>
      <c r="BA130" s="97"/>
      <c r="BB130" s="97"/>
      <c r="BC130" s="97"/>
      <c r="BD130" s="97"/>
      <c r="BE130" s="97"/>
      <c r="BF130" s="97"/>
      <c r="BG130" s="97"/>
      <c r="BH130" s="97"/>
      <c r="BI130" s="97"/>
      <c r="BJ130" s="97"/>
      <c r="BK130" s="97"/>
      <c r="BL130" s="97"/>
      <c r="BM130" s="97"/>
      <c r="BN130" s="97"/>
      <c r="BO130" s="97"/>
      <c r="BP130" s="97"/>
      <c r="BQ130" s="97"/>
      <c r="BR130" s="97"/>
      <c r="BS130" s="97"/>
      <c r="BT130" s="97"/>
      <c r="BU130" s="97"/>
      <c r="BV130" s="97"/>
      <c r="BW130" s="97"/>
      <c r="BX130" s="97"/>
      <c r="BY130" s="97"/>
      <c r="BZ130" s="97"/>
      <c r="CA130" s="97"/>
      <c r="CB130" s="97"/>
      <c r="CC130" s="97"/>
      <c r="CD130" s="97"/>
      <c r="CE130" s="97"/>
      <c r="CF130" s="97"/>
      <c r="CG130" s="97"/>
      <c r="CH130" s="97"/>
      <c r="CI130" s="97"/>
      <c r="CJ130" s="97"/>
      <c r="CK130" s="97"/>
      <c r="CL130" s="97"/>
      <c r="CM130" s="97"/>
      <c r="CN130" s="97"/>
      <c r="CO130" s="97"/>
      <c r="CP130" s="97"/>
      <c r="CQ130" s="97"/>
      <c r="CR130" s="97"/>
      <c r="CS130" s="97"/>
      <c r="CT130" s="97"/>
      <c r="CU130" s="97"/>
      <c r="CV130" s="97"/>
      <c r="CW130" s="97"/>
      <c r="CX130" s="97"/>
      <c r="CY130" s="97"/>
      <c r="CZ130" s="97"/>
      <c r="DA130" s="97"/>
      <c r="DB130" s="97"/>
      <c r="DC130" s="97"/>
      <c r="DD130" s="97"/>
      <c r="DE130" s="97"/>
      <c r="DF130" s="97"/>
      <c r="DG130" s="97"/>
      <c r="DH130" s="97"/>
      <c r="DI130" s="97"/>
      <c r="DJ130" s="97"/>
      <c r="DK130" s="97"/>
      <c r="DL130" s="97"/>
      <c r="DM130" s="97"/>
      <c r="DN130" s="97"/>
      <c r="DO130" s="97"/>
      <c r="DP130" s="97"/>
      <c r="DQ130" s="97"/>
      <c r="DR130" s="97"/>
      <c r="DS130" s="97"/>
      <c r="DT130" s="97"/>
      <c r="DU130" s="97"/>
      <c r="DV130" s="97"/>
      <c r="DW130" s="97"/>
      <c r="DX130" s="97"/>
    </row>
    <row r="131" ht="14.25" customHeight="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97"/>
      <c r="AK131" s="97"/>
      <c r="AL131" s="97"/>
      <c r="AM131" s="97"/>
      <c r="AN131" s="97"/>
      <c r="AO131" s="97"/>
      <c r="AP131" s="97"/>
      <c r="AQ131" s="97"/>
      <c r="AR131" s="97"/>
      <c r="AS131" s="97"/>
      <c r="AT131" s="97"/>
      <c r="AU131" s="97"/>
      <c r="AV131" s="97"/>
      <c r="AW131" s="97"/>
      <c r="AX131" s="97"/>
      <c r="AY131" s="97"/>
      <c r="AZ131" s="97"/>
      <c r="BA131" s="97"/>
      <c r="BB131" s="97"/>
      <c r="BC131" s="97"/>
      <c r="BD131" s="97"/>
      <c r="BE131" s="97"/>
      <c r="BF131" s="97"/>
      <c r="BG131" s="97"/>
      <c r="BH131" s="97"/>
      <c r="BI131" s="97"/>
      <c r="BJ131" s="97"/>
      <c r="BK131" s="97"/>
      <c r="BL131" s="97"/>
      <c r="BM131" s="97"/>
      <c r="BN131" s="97"/>
      <c r="BO131" s="97"/>
      <c r="BP131" s="97"/>
      <c r="BQ131" s="97"/>
      <c r="BR131" s="97"/>
      <c r="BS131" s="97"/>
      <c r="BT131" s="97"/>
      <c r="BU131" s="97"/>
      <c r="BV131" s="97"/>
      <c r="BW131" s="97"/>
      <c r="BX131" s="97"/>
      <c r="BY131" s="97"/>
      <c r="BZ131" s="97"/>
      <c r="CA131" s="97"/>
      <c r="CB131" s="97"/>
      <c r="CC131" s="97"/>
      <c r="CD131" s="97"/>
      <c r="CE131" s="97"/>
      <c r="CF131" s="97"/>
      <c r="CG131" s="97"/>
      <c r="CH131" s="97"/>
      <c r="CI131" s="97"/>
      <c r="CJ131" s="97"/>
      <c r="CK131" s="97"/>
      <c r="CL131" s="97"/>
      <c r="CM131" s="97"/>
      <c r="CN131" s="97"/>
      <c r="CO131" s="97"/>
      <c r="CP131" s="97"/>
      <c r="CQ131" s="97"/>
      <c r="CR131" s="97"/>
      <c r="CS131" s="97"/>
      <c r="CT131" s="97"/>
      <c r="CU131" s="97"/>
      <c r="CV131" s="97"/>
      <c r="CW131" s="97"/>
      <c r="CX131" s="97"/>
      <c r="CY131" s="97"/>
      <c r="CZ131" s="97"/>
      <c r="DA131" s="97"/>
      <c r="DB131" s="97"/>
      <c r="DC131" s="97"/>
      <c r="DD131" s="97"/>
      <c r="DE131" s="97"/>
      <c r="DF131" s="97"/>
      <c r="DG131" s="97"/>
      <c r="DH131" s="97"/>
      <c r="DI131" s="97"/>
      <c r="DJ131" s="97"/>
      <c r="DK131" s="97"/>
      <c r="DL131" s="97"/>
      <c r="DM131" s="97"/>
      <c r="DN131" s="97"/>
      <c r="DO131" s="97"/>
      <c r="DP131" s="97"/>
      <c r="DQ131" s="97"/>
      <c r="DR131" s="97"/>
      <c r="DS131" s="97"/>
      <c r="DT131" s="97"/>
      <c r="DU131" s="97"/>
      <c r="DV131" s="97"/>
      <c r="DW131" s="97"/>
      <c r="DX131" s="97"/>
    </row>
    <row r="132" ht="14.25" customHeight="1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97"/>
      <c r="AK132" s="97"/>
      <c r="AL132" s="97"/>
      <c r="AM132" s="97"/>
      <c r="AN132" s="97"/>
      <c r="AO132" s="97"/>
      <c r="AP132" s="97"/>
      <c r="AQ132" s="97"/>
      <c r="AR132" s="97"/>
      <c r="AS132" s="97"/>
      <c r="AT132" s="97"/>
      <c r="AU132" s="97"/>
      <c r="AV132" s="97"/>
      <c r="AW132" s="97"/>
      <c r="AX132" s="97"/>
      <c r="AY132" s="97"/>
      <c r="AZ132" s="97"/>
      <c r="BA132" s="97"/>
      <c r="BB132" s="97"/>
      <c r="BC132" s="97"/>
      <c r="BD132" s="97"/>
      <c r="BE132" s="97"/>
      <c r="BF132" s="97"/>
      <c r="BG132" s="97"/>
      <c r="BH132" s="97"/>
      <c r="BI132" s="97"/>
      <c r="BJ132" s="97"/>
      <c r="BK132" s="97"/>
      <c r="BL132" s="97"/>
      <c r="BM132" s="97"/>
      <c r="BN132" s="97"/>
      <c r="BO132" s="97"/>
      <c r="BP132" s="97"/>
      <c r="BQ132" s="97"/>
      <c r="BR132" s="97"/>
      <c r="BS132" s="97"/>
      <c r="BT132" s="97"/>
      <c r="BU132" s="97"/>
      <c r="BV132" s="97"/>
      <c r="BW132" s="97"/>
      <c r="BX132" s="97"/>
      <c r="BY132" s="97"/>
      <c r="BZ132" s="97"/>
      <c r="CA132" s="97"/>
      <c r="CB132" s="97"/>
      <c r="CC132" s="97"/>
      <c r="CD132" s="97"/>
      <c r="CE132" s="97"/>
      <c r="CF132" s="97"/>
      <c r="CG132" s="97"/>
      <c r="CH132" s="97"/>
      <c r="CI132" s="97"/>
      <c r="CJ132" s="97"/>
      <c r="CK132" s="97"/>
      <c r="CL132" s="97"/>
      <c r="CM132" s="97"/>
      <c r="CN132" s="97"/>
      <c r="CO132" s="97"/>
      <c r="CP132" s="97"/>
      <c r="CQ132" s="97"/>
      <c r="CR132" s="97"/>
      <c r="CS132" s="97"/>
      <c r="CT132" s="97"/>
      <c r="CU132" s="97"/>
      <c r="CV132" s="97"/>
      <c r="CW132" s="97"/>
      <c r="CX132" s="97"/>
      <c r="CY132" s="97"/>
      <c r="CZ132" s="97"/>
      <c r="DA132" s="97"/>
      <c r="DB132" s="97"/>
      <c r="DC132" s="97"/>
      <c r="DD132" s="97"/>
      <c r="DE132" s="97"/>
      <c r="DF132" s="97"/>
      <c r="DG132" s="97"/>
      <c r="DH132" s="97"/>
      <c r="DI132" s="97"/>
      <c r="DJ132" s="97"/>
      <c r="DK132" s="97"/>
      <c r="DL132" s="97"/>
      <c r="DM132" s="97"/>
      <c r="DN132" s="97"/>
      <c r="DO132" s="97"/>
      <c r="DP132" s="97"/>
      <c r="DQ132" s="97"/>
      <c r="DR132" s="97"/>
      <c r="DS132" s="97"/>
      <c r="DT132" s="97"/>
      <c r="DU132" s="97"/>
      <c r="DV132" s="97"/>
      <c r="DW132" s="97"/>
      <c r="DX132" s="97"/>
    </row>
    <row r="133" ht="14.25" customHeight="1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97"/>
      <c r="AH133" s="97"/>
      <c r="AI133" s="97"/>
      <c r="AJ133" s="97"/>
      <c r="AK133" s="97"/>
      <c r="AL133" s="97"/>
      <c r="AM133" s="97"/>
      <c r="AN133" s="97"/>
      <c r="AO133" s="97"/>
      <c r="AP133" s="97"/>
      <c r="AQ133" s="97"/>
      <c r="AR133" s="97"/>
      <c r="AS133" s="97"/>
      <c r="AT133" s="97"/>
      <c r="AU133" s="97"/>
      <c r="AV133" s="97"/>
      <c r="AW133" s="97"/>
      <c r="AX133" s="97"/>
      <c r="AY133" s="97"/>
      <c r="AZ133" s="97"/>
      <c r="BA133" s="97"/>
      <c r="BB133" s="97"/>
      <c r="BC133" s="97"/>
      <c r="BD133" s="97"/>
      <c r="BE133" s="97"/>
      <c r="BF133" s="97"/>
      <c r="BG133" s="97"/>
      <c r="BH133" s="97"/>
      <c r="BI133" s="97"/>
      <c r="BJ133" s="97"/>
      <c r="BK133" s="97"/>
      <c r="BL133" s="97"/>
      <c r="BM133" s="97"/>
      <c r="BN133" s="97"/>
      <c r="BO133" s="97"/>
      <c r="BP133" s="97"/>
      <c r="BQ133" s="97"/>
      <c r="BR133" s="97"/>
      <c r="BS133" s="97"/>
      <c r="BT133" s="97"/>
      <c r="BU133" s="97"/>
      <c r="BV133" s="97"/>
      <c r="BW133" s="97"/>
      <c r="BX133" s="97"/>
      <c r="BY133" s="97"/>
      <c r="BZ133" s="97"/>
      <c r="CA133" s="97"/>
      <c r="CB133" s="97"/>
      <c r="CC133" s="97"/>
      <c r="CD133" s="97"/>
      <c r="CE133" s="97"/>
      <c r="CF133" s="97"/>
      <c r="CG133" s="97"/>
      <c r="CH133" s="97"/>
      <c r="CI133" s="97"/>
      <c r="CJ133" s="97"/>
      <c r="CK133" s="97"/>
      <c r="CL133" s="97"/>
      <c r="CM133" s="97"/>
      <c r="CN133" s="97"/>
      <c r="CO133" s="97"/>
      <c r="CP133" s="97"/>
      <c r="CQ133" s="97"/>
      <c r="CR133" s="97"/>
      <c r="CS133" s="97"/>
      <c r="CT133" s="97"/>
      <c r="CU133" s="97"/>
      <c r="CV133" s="97"/>
      <c r="CW133" s="97"/>
      <c r="CX133" s="97"/>
      <c r="CY133" s="97"/>
      <c r="CZ133" s="97"/>
      <c r="DA133" s="97"/>
      <c r="DB133" s="97"/>
      <c r="DC133" s="97"/>
      <c r="DD133" s="97"/>
      <c r="DE133" s="97"/>
      <c r="DF133" s="97"/>
      <c r="DG133" s="97"/>
      <c r="DH133" s="97"/>
      <c r="DI133" s="97"/>
      <c r="DJ133" s="97"/>
      <c r="DK133" s="97"/>
      <c r="DL133" s="97"/>
      <c r="DM133" s="97"/>
      <c r="DN133" s="97"/>
      <c r="DO133" s="97"/>
      <c r="DP133" s="97"/>
      <c r="DQ133" s="97"/>
      <c r="DR133" s="97"/>
      <c r="DS133" s="97"/>
      <c r="DT133" s="97"/>
      <c r="DU133" s="97"/>
      <c r="DV133" s="97"/>
      <c r="DW133" s="97"/>
      <c r="DX133" s="97"/>
    </row>
    <row r="134" ht="14.25" customHeight="1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97"/>
      <c r="AH134" s="97"/>
      <c r="AI134" s="97"/>
      <c r="AJ134" s="97"/>
      <c r="AK134" s="97"/>
      <c r="AL134" s="97"/>
      <c r="AM134" s="97"/>
      <c r="AN134" s="97"/>
      <c r="AO134" s="97"/>
      <c r="AP134" s="97"/>
      <c r="AQ134" s="97"/>
      <c r="AR134" s="97"/>
      <c r="AS134" s="97"/>
      <c r="AT134" s="97"/>
      <c r="AU134" s="97"/>
      <c r="AV134" s="97"/>
      <c r="AW134" s="97"/>
      <c r="AX134" s="97"/>
      <c r="AY134" s="97"/>
      <c r="AZ134" s="97"/>
      <c r="BA134" s="97"/>
      <c r="BB134" s="97"/>
      <c r="BC134" s="97"/>
      <c r="BD134" s="97"/>
      <c r="BE134" s="97"/>
      <c r="BF134" s="97"/>
      <c r="BG134" s="97"/>
      <c r="BH134" s="97"/>
      <c r="BI134" s="97"/>
      <c r="BJ134" s="97"/>
      <c r="BK134" s="97"/>
      <c r="BL134" s="97"/>
      <c r="BM134" s="97"/>
      <c r="BN134" s="97"/>
      <c r="BO134" s="97"/>
      <c r="BP134" s="97"/>
      <c r="BQ134" s="97"/>
      <c r="BR134" s="97"/>
      <c r="BS134" s="97"/>
      <c r="BT134" s="97"/>
      <c r="BU134" s="97"/>
      <c r="BV134" s="97"/>
      <c r="BW134" s="97"/>
      <c r="BX134" s="97"/>
      <c r="BY134" s="97"/>
      <c r="BZ134" s="97"/>
      <c r="CA134" s="97"/>
      <c r="CB134" s="97"/>
      <c r="CC134" s="97"/>
      <c r="CD134" s="97"/>
      <c r="CE134" s="97"/>
      <c r="CF134" s="97"/>
      <c r="CG134" s="97"/>
      <c r="CH134" s="97"/>
      <c r="CI134" s="97"/>
      <c r="CJ134" s="97"/>
      <c r="CK134" s="97"/>
      <c r="CL134" s="97"/>
      <c r="CM134" s="97"/>
      <c r="CN134" s="97"/>
      <c r="CO134" s="97"/>
      <c r="CP134" s="97"/>
      <c r="CQ134" s="97"/>
      <c r="CR134" s="97"/>
      <c r="CS134" s="97"/>
      <c r="CT134" s="97"/>
      <c r="CU134" s="97"/>
      <c r="CV134" s="97"/>
      <c r="CW134" s="97"/>
      <c r="CX134" s="97"/>
      <c r="CY134" s="97"/>
      <c r="CZ134" s="97"/>
      <c r="DA134" s="97"/>
      <c r="DB134" s="97"/>
      <c r="DC134" s="97"/>
      <c r="DD134" s="97"/>
      <c r="DE134" s="97"/>
      <c r="DF134" s="97"/>
      <c r="DG134" s="97"/>
      <c r="DH134" s="97"/>
      <c r="DI134" s="97"/>
      <c r="DJ134" s="97"/>
      <c r="DK134" s="97"/>
      <c r="DL134" s="97"/>
      <c r="DM134" s="97"/>
      <c r="DN134" s="97"/>
      <c r="DO134" s="97"/>
      <c r="DP134" s="97"/>
      <c r="DQ134" s="97"/>
      <c r="DR134" s="97"/>
      <c r="DS134" s="97"/>
      <c r="DT134" s="97"/>
      <c r="DU134" s="97"/>
      <c r="DV134" s="97"/>
      <c r="DW134" s="97"/>
      <c r="DX134" s="97"/>
    </row>
    <row r="135" ht="14.25" customHeight="1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97"/>
      <c r="AH135" s="97"/>
      <c r="AI135" s="97"/>
      <c r="AJ135" s="97"/>
      <c r="AK135" s="97"/>
      <c r="AL135" s="97"/>
      <c r="AM135" s="97"/>
      <c r="AN135" s="97"/>
      <c r="AO135" s="97"/>
      <c r="AP135" s="97"/>
      <c r="AQ135" s="97"/>
      <c r="AR135" s="97"/>
      <c r="AS135" s="97"/>
      <c r="AT135" s="97"/>
      <c r="AU135" s="97"/>
      <c r="AV135" s="97"/>
      <c r="AW135" s="97"/>
      <c r="AX135" s="97"/>
      <c r="AY135" s="97"/>
      <c r="AZ135" s="97"/>
      <c r="BA135" s="97"/>
      <c r="BB135" s="97"/>
      <c r="BC135" s="97"/>
      <c r="BD135" s="97"/>
      <c r="BE135" s="97"/>
      <c r="BF135" s="97"/>
      <c r="BG135" s="97"/>
      <c r="BH135" s="97"/>
      <c r="BI135" s="97"/>
      <c r="BJ135" s="97"/>
      <c r="BK135" s="97"/>
      <c r="BL135" s="97"/>
      <c r="BM135" s="97"/>
      <c r="BN135" s="97"/>
      <c r="BO135" s="97"/>
      <c r="BP135" s="97"/>
      <c r="BQ135" s="97"/>
      <c r="BR135" s="97"/>
      <c r="BS135" s="97"/>
      <c r="BT135" s="97"/>
      <c r="BU135" s="97"/>
      <c r="BV135" s="97"/>
      <c r="BW135" s="97"/>
      <c r="BX135" s="97"/>
      <c r="BY135" s="97"/>
      <c r="BZ135" s="97"/>
      <c r="CA135" s="97"/>
      <c r="CB135" s="97"/>
      <c r="CC135" s="97"/>
      <c r="CD135" s="97"/>
      <c r="CE135" s="97"/>
      <c r="CF135" s="97"/>
      <c r="CG135" s="97"/>
      <c r="CH135" s="97"/>
      <c r="CI135" s="97"/>
      <c r="CJ135" s="97"/>
      <c r="CK135" s="97"/>
      <c r="CL135" s="97"/>
      <c r="CM135" s="97"/>
      <c r="CN135" s="97"/>
      <c r="CO135" s="97"/>
      <c r="CP135" s="97"/>
      <c r="CQ135" s="97"/>
      <c r="CR135" s="97"/>
      <c r="CS135" s="97"/>
      <c r="CT135" s="97"/>
      <c r="CU135" s="97"/>
      <c r="CV135" s="97"/>
      <c r="CW135" s="97"/>
      <c r="CX135" s="97"/>
      <c r="CY135" s="97"/>
      <c r="CZ135" s="97"/>
      <c r="DA135" s="97"/>
      <c r="DB135" s="97"/>
      <c r="DC135" s="97"/>
      <c r="DD135" s="97"/>
      <c r="DE135" s="97"/>
      <c r="DF135" s="97"/>
      <c r="DG135" s="97"/>
      <c r="DH135" s="97"/>
      <c r="DI135" s="97"/>
      <c r="DJ135" s="97"/>
      <c r="DK135" s="97"/>
      <c r="DL135" s="97"/>
      <c r="DM135" s="97"/>
      <c r="DN135" s="97"/>
      <c r="DO135" s="97"/>
      <c r="DP135" s="97"/>
      <c r="DQ135" s="97"/>
      <c r="DR135" s="97"/>
      <c r="DS135" s="97"/>
      <c r="DT135" s="97"/>
      <c r="DU135" s="97"/>
      <c r="DV135" s="97"/>
      <c r="DW135" s="97"/>
      <c r="DX135" s="97"/>
    </row>
    <row r="136" ht="14.25" customHeight="1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97"/>
      <c r="AH136" s="97"/>
      <c r="AI136" s="97"/>
      <c r="AJ136" s="97"/>
      <c r="AK136" s="97"/>
      <c r="AL136" s="97"/>
      <c r="AM136" s="97"/>
      <c r="AN136" s="97"/>
      <c r="AO136" s="97"/>
      <c r="AP136" s="97"/>
      <c r="AQ136" s="97"/>
      <c r="AR136" s="97"/>
      <c r="AS136" s="97"/>
      <c r="AT136" s="97"/>
      <c r="AU136" s="97"/>
      <c r="AV136" s="97"/>
      <c r="AW136" s="97"/>
      <c r="AX136" s="97"/>
      <c r="AY136" s="97"/>
      <c r="AZ136" s="97"/>
      <c r="BA136" s="97"/>
      <c r="BB136" s="97"/>
      <c r="BC136" s="97"/>
      <c r="BD136" s="97"/>
      <c r="BE136" s="97"/>
      <c r="BF136" s="97"/>
      <c r="BG136" s="97"/>
      <c r="BH136" s="97"/>
      <c r="BI136" s="97"/>
      <c r="BJ136" s="97"/>
      <c r="BK136" s="97"/>
      <c r="BL136" s="97"/>
      <c r="BM136" s="97"/>
      <c r="BN136" s="97"/>
      <c r="BO136" s="97"/>
      <c r="BP136" s="97"/>
      <c r="BQ136" s="97"/>
      <c r="BR136" s="97"/>
      <c r="BS136" s="97"/>
      <c r="BT136" s="97"/>
      <c r="BU136" s="97"/>
      <c r="BV136" s="97"/>
      <c r="BW136" s="97"/>
      <c r="BX136" s="97"/>
      <c r="BY136" s="97"/>
      <c r="BZ136" s="97"/>
      <c r="CA136" s="97"/>
      <c r="CB136" s="97"/>
      <c r="CC136" s="97"/>
      <c r="CD136" s="97"/>
      <c r="CE136" s="97"/>
      <c r="CF136" s="97"/>
      <c r="CG136" s="97"/>
      <c r="CH136" s="97"/>
      <c r="CI136" s="97"/>
      <c r="CJ136" s="97"/>
      <c r="CK136" s="97"/>
      <c r="CL136" s="97"/>
      <c r="CM136" s="97"/>
      <c r="CN136" s="97"/>
      <c r="CO136" s="97"/>
      <c r="CP136" s="97"/>
      <c r="CQ136" s="97"/>
      <c r="CR136" s="97"/>
      <c r="CS136" s="97"/>
      <c r="CT136" s="97"/>
      <c r="CU136" s="97"/>
      <c r="CV136" s="97"/>
      <c r="CW136" s="97"/>
      <c r="CX136" s="97"/>
      <c r="CY136" s="97"/>
      <c r="CZ136" s="97"/>
      <c r="DA136" s="97"/>
      <c r="DB136" s="97"/>
      <c r="DC136" s="97"/>
      <c r="DD136" s="97"/>
      <c r="DE136" s="97"/>
      <c r="DF136" s="97"/>
      <c r="DG136" s="97"/>
      <c r="DH136" s="97"/>
      <c r="DI136" s="97"/>
      <c r="DJ136" s="97"/>
      <c r="DK136" s="97"/>
      <c r="DL136" s="97"/>
      <c r="DM136" s="97"/>
      <c r="DN136" s="97"/>
      <c r="DO136" s="97"/>
      <c r="DP136" s="97"/>
      <c r="DQ136" s="97"/>
      <c r="DR136" s="97"/>
      <c r="DS136" s="97"/>
      <c r="DT136" s="97"/>
      <c r="DU136" s="97"/>
      <c r="DV136" s="97"/>
      <c r="DW136" s="97"/>
      <c r="DX136" s="97"/>
    </row>
    <row r="137" ht="14.25" customHeight="1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97"/>
      <c r="AH137" s="97"/>
      <c r="AI137" s="97"/>
      <c r="AJ137" s="97"/>
      <c r="AK137" s="97"/>
      <c r="AL137" s="97"/>
      <c r="AM137" s="97"/>
      <c r="AN137" s="97"/>
      <c r="AO137" s="97"/>
      <c r="AP137" s="97"/>
      <c r="AQ137" s="97"/>
      <c r="AR137" s="97"/>
      <c r="AS137" s="97"/>
      <c r="AT137" s="97"/>
      <c r="AU137" s="97"/>
      <c r="AV137" s="97"/>
      <c r="AW137" s="97"/>
      <c r="AX137" s="97"/>
      <c r="AY137" s="97"/>
      <c r="AZ137" s="97"/>
      <c r="BA137" s="97"/>
      <c r="BB137" s="97"/>
      <c r="BC137" s="97"/>
      <c r="BD137" s="97"/>
      <c r="BE137" s="97"/>
      <c r="BF137" s="97"/>
      <c r="BG137" s="97"/>
      <c r="BH137" s="97"/>
      <c r="BI137" s="97"/>
      <c r="BJ137" s="97"/>
      <c r="BK137" s="97"/>
      <c r="BL137" s="97"/>
      <c r="BM137" s="97"/>
      <c r="BN137" s="97"/>
      <c r="BO137" s="97"/>
      <c r="BP137" s="97"/>
      <c r="BQ137" s="97"/>
      <c r="BR137" s="97"/>
      <c r="BS137" s="97"/>
      <c r="BT137" s="97"/>
      <c r="BU137" s="97"/>
      <c r="BV137" s="97"/>
      <c r="BW137" s="97"/>
      <c r="BX137" s="97"/>
      <c r="BY137" s="97"/>
      <c r="BZ137" s="97"/>
      <c r="CA137" s="97"/>
      <c r="CB137" s="97"/>
      <c r="CC137" s="97"/>
      <c r="CD137" s="97"/>
      <c r="CE137" s="97"/>
      <c r="CF137" s="97"/>
      <c r="CG137" s="97"/>
      <c r="CH137" s="97"/>
      <c r="CI137" s="97"/>
      <c r="CJ137" s="97"/>
      <c r="CK137" s="97"/>
      <c r="CL137" s="97"/>
      <c r="CM137" s="97"/>
      <c r="CN137" s="97"/>
      <c r="CO137" s="97"/>
      <c r="CP137" s="97"/>
      <c r="CQ137" s="97"/>
      <c r="CR137" s="97"/>
      <c r="CS137" s="97"/>
      <c r="CT137" s="97"/>
      <c r="CU137" s="97"/>
      <c r="CV137" s="97"/>
      <c r="CW137" s="97"/>
      <c r="CX137" s="97"/>
      <c r="CY137" s="97"/>
      <c r="CZ137" s="97"/>
      <c r="DA137" s="97"/>
      <c r="DB137" s="97"/>
      <c r="DC137" s="97"/>
      <c r="DD137" s="97"/>
      <c r="DE137" s="97"/>
      <c r="DF137" s="97"/>
      <c r="DG137" s="97"/>
      <c r="DH137" s="97"/>
      <c r="DI137" s="97"/>
      <c r="DJ137" s="97"/>
      <c r="DK137" s="97"/>
      <c r="DL137" s="97"/>
      <c r="DM137" s="97"/>
      <c r="DN137" s="97"/>
      <c r="DO137" s="97"/>
      <c r="DP137" s="97"/>
      <c r="DQ137" s="97"/>
      <c r="DR137" s="97"/>
      <c r="DS137" s="97"/>
      <c r="DT137" s="97"/>
      <c r="DU137" s="97"/>
      <c r="DV137" s="97"/>
      <c r="DW137" s="97"/>
      <c r="DX137" s="97"/>
    </row>
    <row r="138" ht="14.25" customHeight="1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97"/>
      <c r="AO138" s="97"/>
      <c r="AP138" s="97"/>
      <c r="AQ138" s="97"/>
      <c r="AR138" s="97"/>
      <c r="AS138" s="97"/>
      <c r="AT138" s="97"/>
      <c r="AU138" s="97"/>
      <c r="AV138" s="97"/>
      <c r="AW138" s="97"/>
      <c r="AX138" s="97"/>
      <c r="AY138" s="97"/>
      <c r="AZ138" s="97"/>
      <c r="BA138" s="97"/>
      <c r="BB138" s="97"/>
      <c r="BC138" s="97"/>
      <c r="BD138" s="97"/>
      <c r="BE138" s="97"/>
      <c r="BF138" s="97"/>
      <c r="BG138" s="97"/>
      <c r="BH138" s="97"/>
      <c r="BI138" s="97"/>
      <c r="BJ138" s="97"/>
      <c r="BK138" s="97"/>
      <c r="BL138" s="97"/>
      <c r="BM138" s="97"/>
      <c r="BN138" s="97"/>
      <c r="BO138" s="97"/>
      <c r="BP138" s="97"/>
      <c r="BQ138" s="97"/>
      <c r="BR138" s="97"/>
      <c r="BS138" s="97"/>
      <c r="BT138" s="97"/>
      <c r="BU138" s="97"/>
      <c r="BV138" s="97"/>
      <c r="BW138" s="97"/>
      <c r="BX138" s="97"/>
      <c r="BY138" s="97"/>
      <c r="BZ138" s="97"/>
      <c r="CA138" s="97"/>
      <c r="CB138" s="97"/>
      <c r="CC138" s="97"/>
      <c r="CD138" s="97"/>
      <c r="CE138" s="97"/>
      <c r="CF138" s="97"/>
      <c r="CG138" s="97"/>
      <c r="CH138" s="97"/>
      <c r="CI138" s="97"/>
      <c r="CJ138" s="97"/>
      <c r="CK138" s="97"/>
      <c r="CL138" s="97"/>
      <c r="CM138" s="97"/>
      <c r="CN138" s="97"/>
      <c r="CO138" s="97"/>
      <c r="CP138" s="97"/>
      <c r="CQ138" s="97"/>
      <c r="CR138" s="97"/>
      <c r="CS138" s="97"/>
      <c r="CT138" s="97"/>
      <c r="CU138" s="97"/>
      <c r="CV138" s="97"/>
      <c r="CW138" s="97"/>
      <c r="CX138" s="97"/>
      <c r="CY138" s="97"/>
      <c r="CZ138" s="97"/>
      <c r="DA138" s="97"/>
      <c r="DB138" s="97"/>
      <c r="DC138" s="97"/>
      <c r="DD138" s="97"/>
      <c r="DE138" s="97"/>
      <c r="DF138" s="97"/>
      <c r="DG138" s="97"/>
      <c r="DH138" s="97"/>
      <c r="DI138" s="97"/>
      <c r="DJ138" s="97"/>
      <c r="DK138" s="97"/>
      <c r="DL138" s="97"/>
      <c r="DM138" s="97"/>
      <c r="DN138" s="97"/>
      <c r="DO138" s="97"/>
      <c r="DP138" s="97"/>
      <c r="DQ138" s="97"/>
      <c r="DR138" s="97"/>
      <c r="DS138" s="97"/>
      <c r="DT138" s="97"/>
      <c r="DU138" s="97"/>
      <c r="DV138" s="97"/>
      <c r="DW138" s="97"/>
      <c r="DX138" s="97"/>
    </row>
    <row r="139" ht="14.25" customHeight="1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97"/>
      <c r="AH139" s="97"/>
      <c r="AI139" s="97"/>
      <c r="AJ139" s="97"/>
      <c r="AK139" s="97"/>
      <c r="AL139" s="97"/>
      <c r="AM139" s="97"/>
      <c r="AN139" s="97"/>
      <c r="AO139" s="97"/>
      <c r="AP139" s="97"/>
      <c r="AQ139" s="97"/>
      <c r="AR139" s="97"/>
      <c r="AS139" s="97"/>
      <c r="AT139" s="97"/>
      <c r="AU139" s="97"/>
      <c r="AV139" s="97"/>
      <c r="AW139" s="97"/>
      <c r="AX139" s="97"/>
      <c r="AY139" s="97"/>
      <c r="AZ139" s="97"/>
      <c r="BA139" s="97"/>
      <c r="BB139" s="97"/>
      <c r="BC139" s="97"/>
      <c r="BD139" s="97"/>
      <c r="BE139" s="97"/>
      <c r="BF139" s="97"/>
      <c r="BG139" s="97"/>
      <c r="BH139" s="97"/>
      <c r="BI139" s="97"/>
      <c r="BJ139" s="97"/>
      <c r="BK139" s="97"/>
      <c r="BL139" s="97"/>
      <c r="BM139" s="97"/>
      <c r="BN139" s="97"/>
      <c r="BO139" s="97"/>
      <c r="BP139" s="97"/>
      <c r="BQ139" s="97"/>
      <c r="BR139" s="97"/>
      <c r="BS139" s="97"/>
      <c r="BT139" s="97"/>
      <c r="BU139" s="97"/>
      <c r="BV139" s="97"/>
      <c r="BW139" s="97"/>
      <c r="BX139" s="97"/>
      <c r="BY139" s="97"/>
      <c r="BZ139" s="97"/>
      <c r="CA139" s="97"/>
      <c r="CB139" s="97"/>
      <c r="CC139" s="97"/>
      <c r="CD139" s="97"/>
      <c r="CE139" s="97"/>
      <c r="CF139" s="97"/>
      <c r="CG139" s="97"/>
      <c r="CH139" s="97"/>
      <c r="CI139" s="97"/>
      <c r="CJ139" s="97"/>
      <c r="CK139" s="97"/>
      <c r="CL139" s="97"/>
      <c r="CM139" s="97"/>
      <c r="CN139" s="97"/>
      <c r="CO139" s="97"/>
      <c r="CP139" s="97"/>
      <c r="CQ139" s="97"/>
      <c r="CR139" s="97"/>
      <c r="CS139" s="97"/>
      <c r="CT139" s="97"/>
      <c r="CU139" s="97"/>
      <c r="CV139" s="97"/>
      <c r="CW139" s="97"/>
      <c r="CX139" s="97"/>
      <c r="CY139" s="97"/>
      <c r="CZ139" s="97"/>
      <c r="DA139" s="97"/>
      <c r="DB139" s="97"/>
      <c r="DC139" s="97"/>
      <c r="DD139" s="97"/>
      <c r="DE139" s="97"/>
      <c r="DF139" s="97"/>
      <c r="DG139" s="97"/>
      <c r="DH139" s="97"/>
      <c r="DI139" s="97"/>
      <c r="DJ139" s="97"/>
      <c r="DK139" s="97"/>
      <c r="DL139" s="97"/>
      <c r="DM139" s="97"/>
      <c r="DN139" s="97"/>
      <c r="DO139" s="97"/>
      <c r="DP139" s="97"/>
      <c r="DQ139" s="97"/>
      <c r="DR139" s="97"/>
      <c r="DS139" s="97"/>
      <c r="DT139" s="97"/>
      <c r="DU139" s="97"/>
      <c r="DV139" s="97"/>
      <c r="DW139" s="97"/>
      <c r="DX139" s="97"/>
    </row>
    <row r="140" ht="14.25" customHeight="1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97"/>
      <c r="AH140" s="97"/>
      <c r="AI140" s="97"/>
      <c r="AJ140" s="97"/>
      <c r="AK140" s="97"/>
      <c r="AL140" s="97"/>
      <c r="AM140" s="97"/>
      <c r="AN140" s="97"/>
      <c r="AO140" s="97"/>
      <c r="AP140" s="97"/>
      <c r="AQ140" s="97"/>
      <c r="AR140" s="97"/>
      <c r="AS140" s="97"/>
      <c r="AT140" s="97"/>
      <c r="AU140" s="97"/>
      <c r="AV140" s="97"/>
      <c r="AW140" s="97"/>
      <c r="AX140" s="97"/>
      <c r="AY140" s="97"/>
      <c r="AZ140" s="97"/>
      <c r="BA140" s="97"/>
      <c r="BB140" s="97"/>
      <c r="BC140" s="97"/>
      <c r="BD140" s="97"/>
      <c r="BE140" s="97"/>
      <c r="BF140" s="97"/>
      <c r="BG140" s="97"/>
      <c r="BH140" s="97"/>
      <c r="BI140" s="97"/>
      <c r="BJ140" s="97"/>
      <c r="BK140" s="97"/>
      <c r="BL140" s="97"/>
      <c r="BM140" s="97"/>
      <c r="BN140" s="97"/>
      <c r="BO140" s="97"/>
      <c r="BP140" s="97"/>
      <c r="BQ140" s="97"/>
      <c r="BR140" s="97"/>
      <c r="BS140" s="97"/>
      <c r="BT140" s="97"/>
      <c r="BU140" s="97"/>
      <c r="BV140" s="97"/>
      <c r="BW140" s="97"/>
      <c r="BX140" s="97"/>
      <c r="BY140" s="97"/>
      <c r="BZ140" s="97"/>
      <c r="CA140" s="97"/>
      <c r="CB140" s="97"/>
      <c r="CC140" s="97"/>
      <c r="CD140" s="97"/>
      <c r="CE140" s="97"/>
      <c r="CF140" s="97"/>
      <c r="CG140" s="97"/>
      <c r="CH140" s="97"/>
      <c r="CI140" s="97"/>
      <c r="CJ140" s="97"/>
      <c r="CK140" s="97"/>
      <c r="CL140" s="97"/>
      <c r="CM140" s="97"/>
      <c r="CN140" s="97"/>
      <c r="CO140" s="97"/>
      <c r="CP140" s="97"/>
      <c r="CQ140" s="97"/>
      <c r="CR140" s="97"/>
      <c r="CS140" s="97"/>
      <c r="CT140" s="97"/>
      <c r="CU140" s="97"/>
      <c r="CV140" s="97"/>
      <c r="CW140" s="97"/>
      <c r="CX140" s="97"/>
      <c r="CY140" s="97"/>
      <c r="CZ140" s="97"/>
      <c r="DA140" s="97"/>
      <c r="DB140" s="97"/>
      <c r="DC140" s="97"/>
      <c r="DD140" s="97"/>
      <c r="DE140" s="97"/>
      <c r="DF140" s="97"/>
      <c r="DG140" s="97"/>
      <c r="DH140" s="97"/>
      <c r="DI140" s="97"/>
      <c r="DJ140" s="97"/>
      <c r="DK140" s="97"/>
      <c r="DL140" s="97"/>
      <c r="DM140" s="97"/>
      <c r="DN140" s="97"/>
      <c r="DO140" s="97"/>
      <c r="DP140" s="97"/>
      <c r="DQ140" s="97"/>
      <c r="DR140" s="97"/>
      <c r="DS140" s="97"/>
      <c r="DT140" s="97"/>
      <c r="DU140" s="97"/>
      <c r="DV140" s="97"/>
      <c r="DW140" s="97"/>
      <c r="DX140" s="97"/>
    </row>
    <row r="141" ht="14.25" customHeight="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97"/>
      <c r="AH141" s="97"/>
      <c r="AI141" s="97"/>
      <c r="AJ141" s="97"/>
      <c r="AK141" s="97"/>
      <c r="AL141" s="97"/>
      <c r="AM141" s="97"/>
      <c r="AN141" s="97"/>
      <c r="AO141" s="97"/>
      <c r="AP141" s="97"/>
      <c r="AQ141" s="97"/>
      <c r="AR141" s="97"/>
      <c r="AS141" s="97"/>
      <c r="AT141" s="97"/>
      <c r="AU141" s="97"/>
      <c r="AV141" s="97"/>
      <c r="AW141" s="97"/>
      <c r="AX141" s="97"/>
      <c r="AY141" s="97"/>
      <c r="AZ141" s="97"/>
      <c r="BA141" s="97"/>
      <c r="BB141" s="97"/>
      <c r="BC141" s="97"/>
      <c r="BD141" s="97"/>
      <c r="BE141" s="97"/>
      <c r="BF141" s="97"/>
      <c r="BG141" s="97"/>
      <c r="BH141" s="97"/>
      <c r="BI141" s="97"/>
      <c r="BJ141" s="97"/>
      <c r="BK141" s="97"/>
      <c r="BL141" s="97"/>
      <c r="BM141" s="97"/>
      <c r="BN141" s="97"/>
      <c r="BO141" s="97"/>
      <c r="BP141" s="97"/>
      <c r="BQ141" s="97"/>
      <c r="BR141" s="97"/>
      <c r="BS141" s="97"/>
      <c r="BT141" s="97"/>
      <c r="BU141" s="97"/>
      <c r="BV141" s="97"/>
      <c r="BW141" s="97"/>
      <c r="BX141" s="97"/>
      <c r="BY141" s="97"/>
      <c r="BZ141" s="97"/>
      <c r="CA141" s="97"/>
      <c r="CB141" s="97"/>
      <c r="CC141" s="97"/>
      <c r="CD141" s="97"/>
      <c r="CE141" s="97"/>
      <c r="CF141" s="97"/>
      <c r="CG141" s="97"/>
      <c r="CH141" s="97"/>
      <c r="CI141" s="97"/>
      <c r="CJ141" s="97"/>
      <c r="CK141" s="97"/>
      <c r="CL141" s="97"/>
      <c r="CM141" s="97"/>
      <c r="CN141" s="97"/>
      <c r="CO141" s="97"/>
      <c r="CP141" s="97"/>
      <c r="CQ141" s="97"/>
      <c r="CR141" s="97"/>
      <c r="CS141" s="97"/>
      <c r="CT141" s="97"/>
      <c r="CU141" s="97"/>
      <c r="CV141" s="97"/>
      <c r="CW141" s="97"/>
      <c r="CX141" s="97"/>
      <c r="CY141" s="97"/>
      <c r="CZ141" s="97"/>
      <c r="DA141" s="97"/>
      <c r="DB141" s="97"/>
      <c r="DC141" s="97"/>
      <c r="DD141" s="97"/>
      <c r="DE141" s="97"/>
      <c r="DF141" s="97"/>
      <c r="DG141" s="97"/>
      <c r="DH141" s="97"/>
      <c r="DI141" s="97"/>
      <c r="DJ141" s="97"/>
      <c r="DK141" s="97"/>
      <c r="DL141" s="97"/>
      <c r="DM141" s="97"/>
      <c r="DN141" s="97"/>
      <c r="DO141" s="97"/>
      <c r="DP141" s="97"/>
      <c r="DQ141" s="97"/>
      <c r="DR141" s="97"/>
      <c r="DS141" s="97"/>
      <c r="DT141" s="97"/>
      <c r="DU141" s="97"/>
      <c r="DV141" s="97"/>
      <c r="DW141" s="97"/>
      <c r="DX141" s="97"/>
    </row>
    <row r="142" ht="14.25" customHeight="1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97"/>
      <c r="AH142" s="97"/>
      <c r="AI142" s="97"/>
      <c r="AJ142" s="97"/>
      <c r="AK142" s="97"/>
      <c r="AL142" s="97"/>
      <c r="AM142" s="97"/>
      <c r="AN142" s="97"/>
      <c r="AO142" s="97"/>
      <c r="AP142" s="97"/>
      <c r="AQ142" s="97"/>
      <c r="AR142" s="97"/>
      <c r="AS142" s="97"/>
      <c r="AT142" s="97"/>
      <c r="AU142" s="97"/>
      <c r="AV142" s="97"/>
      <c r="AW142" s="97"/>
      <c r="AX142" s="97"/>
      <c r="AY142" s="97"/>
      <c r="AZ142" s="97"/>
      <c r="BA142" s="97"/>
      <c r="BB142" s="97"/>
      <c r="BC142" s="97"/>
      <c r="BD142" s="97"/>
      <c r="BE142" s="97"/>
      <c r="BF142" s="97"/>
      <c r="BG142" s="97"/>
      <c r="BH142" s="97"/>
      <c r="BI142" s="97"/>
      <c r="BJ142" s="97"/>
      <c r="BK142" s="97"/>
      <c r="BL142" s="97"/>
      <c r="BM142" s="97"/>
      <c r="BN142" s="97"/>
      <c r="BO142" s="97"/>
      <c r="BP142" s="97"/>
      <c r="BQ142" s="97"/>
      <c r="BR142" s="97"/>
      <c r="BS142" s="97"/>
      <c r="BT142" s="97"/>
      <c r="BU142" s="97"/>
      <c r="BV142" s="97"/>
      <c r="BW142" s="97"/>
      <c r="BX142" s="97"/>
      <c r="BY142" s="97"/>
      <c r="BZ142" s="97"/>
      <c r="CA142" s="97"/>
      <c r="CB142" s="97"/>
      <c r="CC142" s="97"/>
      <c r="CD142" s="97"/>
      <c r="CE142" s="97"/>
      <c r="CF142" s="97"/>
      <c r="CG142" s="97"/>
      <c r="CH142" s="97"/>
      <c r="CI142" s="97"/>
      <c r="CJ142" s="97"/>
      <c r="CK142" s="97"/>
      <c r="CL142" s="97"/>
      <c r="CM142" s="97"/>
      <c r="CN142" s="97"/>
      <c r="CO142" s="97"/>
      <c r="CP142" s="97"/>
      <c r="CQ142" s="97"/>
      <c r="CR142" s="97"/>
      <c r="CS142" s="97"/>
      <c r="CT142" s="97"/>
      <c r="CU142" s="97"/>
      <c r="CV142" s="97"/>
      <c r="CW142" s="97"/>
      <c r="CX142" s="97"/>
      <c r="CY142" s="97"/>
      <c r="CZ142" s="97"/>
      <c r="DA142" s="97"/>
      <c r="DB142" s="97"/>
      <c r="DC142" s="97"/>
      <c r="DD142" s="97"/>
      <c r="DE142" s="97"/>
      <c r="DF142" s="97"/>
      <c r="DG142" s="97"/>
      <c r="DH142" s="97"/>
      <c r="DI142" s="97"/>
      <c r="DJ142" s="97"/>
      <c r="DK142" s="97"/>
      <c r="DL142" s="97"/>
      <c r="DM142" s="97"/>
      <c r="DN142" s="97"/>
      <c r="DO142" s="97"/>
      <c r="DP142" s="97"/>
      <c r="DQ142" s="97"/>
      <c r="DR142" s="97"/>
      <c r="DS142" s="97"/>
      <c r="DT142" s="97"/>
      <c r="DU142" s="97"/>
      <c r="DV142" s="97"/>
      <c r="DW142" s="97"/>
      <c r="DX142" s="97"/>
    </row>
    <row r="143" ht="14.25" customHeight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97"/>
      <c r="AH143" s="97"/>
      <c r="AI143" s="97"/>
      <c r="AJ143" s="97"/>
      <c r="AK143" s="97"/>
      <c r="AL143" s="97"/>
      <c r="AM143" s="97"/>
      <c r="AN143" s="97"/>
      <c r="AO143" s="97"/>
      <c r="AP143" s="97"/>
      <c r="AQ143" s="97"/>
      <c r="AR143" s="97"/>
      <c r="AS143" s="97"/>
      <c r="AT143" s="97"/>
      <c r="AU143" s="97"/>
      <c r="AV143" s="97"/>
      <c r="AW143" s="97"/>
      <c r="AX143" s="97"/>
      <c r="AY143" s="97"/>
      <c r="AZ143" s="97"/>
      <c r="BA143" s="97"/>
      <c r="BB143" s="97"/>
      <c r="BC143" s="97"/>
      <c r="BD143" s="97"/>
      <c r="BE143" s="97"/>
      <c r="BF143" s="97"/>
      <c r="BG143" s="97"/>
      <c r="BH143" s="97"/>
      <c r="BI143" s="97"/>
      <c r="BJ143" s="97"/>
      <c r="BK143" s="97"/>
      <c r="BL143" s="97"/>
      <c r="BM143" s="97"/>
      <c r="BN143" s="97"/>
      <c r="BO143" s="97"/>
      <c r="BP143" s="97"/>
      <c r="BQ143" s="97"/>
      <c r="BR143" s="97"/>
      <c r="BS143" s="97"/>
      <c r="BT143" s="97"/>
      <c r="BU143" s="97"/>
      <c r="BV143" s="97"/>
      <c r="BW143" s="97"/>
      <c r="BX143" s="97"/>
      <c r="BY143" s="97"/>
      <c r="BZ143" s="97"/>
      <c r="CA143" s="97"/>
      <c r="CB143" s="97"/>
      <c r="CC143" s="97"/>
      <c r="CD143" s="97"/>
      <c r="CE143" s="97"/>
      <c r="CF143" s="97"/>
      <c r="CG143" s="97"/>
      <c r="CH143" s="97"/>
      <c r="CI143" s="97"/>
      <c r="CJ143" s="97"/>
      <c r="CK143" s="97"/>
      <c r="CL143" s="97"/>
      <c r="CM143" s="97"/>
      <c r="CN143" s="97"/>
      <c r="CO143" s="97"/>
      <c r="CP143" s="97"/>
      <c r="CQ143" s="97"/>
      <c r="CR143" s="97"/>
      <c r="CS143" s="97"/>
      <c r="CT143" s="97"/>
      <c r="CU143" s="97"/>
      <c r="CV143" s="97"/>
      <c r="CW143" s="97"/>
      <c r="CX143" s="97"/>
      <c r="CY143" s="97"/>
      <c r="CZ143" s="97"/>
      <c r="DA143" s="97"/>
      <c r="DB143" s="97"/>
      <c r="DC143" s="97"/>
      <c r="DD143" s="97"/>
      <c r="DE143" s="97"/>
      <c r="DF143" s="97"/>
      <c r="DG143" s="97"/>
      <c r="DH143" s="97"/>
      <c r="DI143" s="97"/>
      <c r="DJ143" s="97"/>
      <c r="DK143" s="97"/>
      <c r="DL143" s="97"/>
      <c r="DM143" s="97"/>
      <c r="DN143" s="97"/>
      <c r="DO143" s="97"/>
      <c r="DP143" s="97"/>
      <c r="DQ143" s="97"/>
      <c r="DR143" s="97"/>
      <c r="DS143" s="97"/>
      <c r="DT143" s="97"/>
      <c r="DU143" s="97"/>
      <c r="DV143" s="97"/>
      <c r="DW143" s="97"/>
      <c r="DX143" s="97"/>
    </row>
    <row r="144" ht="14.25" customHeight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97"/>
      <c r="AH144" s="97"/>
      <c r="AI144" s="97"/>
      <c r="AJ144" s="97"/>
      <c r="AK144" s="97"/>
      <c r="AL144" s="97"/>
      <c r="AM144" s="97"/>
      <c r="AN144" s="97"/>
      <c r="AO144" s="97"/>
      <c r="AP144" s="97"/>
      <c r="AQ144" s="97"/>
      <c r="AR144" s="97"/>
      <c r="AS144" s="97"/>
      <c r="AT144" s="97"/>
      <c r="AU144" s="97"/>
      <c r="AV144" s="97"/>
      <c r="AW144" s="97"/>
      <c r="AX144" s="97"/>
      <c r="AY144" s="97"/>
      <c r="AZ144" s="97"/>
      <c r="BA144" s="97"/>
      <c r="BB144" s="97"/>
      <c r="BC144" s="97"/>
      <c r="BD144" s="97"/>
      <c r="BE144" s="97"/>
      <c r="BF144" s="97"/>
      <c r="BG144" s="97"/>
      <c r="BH144" s="97"/>
      <c r="BI144" s="97"/>
      <c r="BJ144" s="97"/>
      <c r="BK144" s="97"/>
      <c r="BL144" s="97"/>
      <c r="BM144" s="97"/>
      <c r="BN144" s="97"/>
      <c r="BO144" s="97"/>
      <c r="BP144" s="97"/>
      <c r="BQ144" s="97"/>
      <c r="BR144" s="97"/>
      <c r="BS144" s="97"/>
      <c r="BT144" s="97"/>
      <c r="BU144" s="97"/>
      <c r="BV144" s="97"/>
      <c r="BW144" s="97"/>
      <c r="BX144" s="97"/>
      <c r="BY144" s="97"/>
      <c r="BZ144" s="97"/>
      <c r="CA144" s="97"/>
      <c r="CB144" s="97"/>
      <c r="CC144" s="97"/>
      <c r="CD144" s="97"/>
      <c r="CE144" s="97"/>
      <c r="CF144" s="97"/>
      <c r="CG144" s="97"/>
      <c r="CH144" s="97"/>
      <c r="CI144" s="97"/>
      <c r="CJ144" s="97"/>
      <c r="CK144" s="97"/>
      <c r="CL144" s="97"/>
      <c r="CM144" s="97"/>
      <c r="CN144" s="97"/>
      <c r="CO144" s="97"/>
      <c r="CP144" s="97"/>
      <c r="CQ144" s="97"/>
      <c r="CR144" s="97"/>
      <c r="CS144" s="97"/>
      <c r="CT144" s="97"/>
      <c r="CU144" s="97"/>
      <c r="CV144" s="97"/>
      <c r="CW144" s="97"/>
      <c r="CX144" s="97"/>
      <c r="CY144" s="97"/>
      <c r="CZ144" s="97"/>
      <c r="DA144" s="97"/>
      <c r="DB144" s="97"/>
      <c r="DC144" s="97"/>
      <c r="DD144" s="97"/>
      <c r="DE144" s="97"/>
      <c r="DF144" s="97"/>
      <c r="DG144" s="97"/>
      <c r="DH144" s="97"/>
      <c r="DI144" s="97"/>
      <c r="DJ144" s="97"/>
      <c r="DK144" s="97"/>
      <c r="DL144" s="97"/>
      <c r="DM144" s="97"/>
      <c r="DN144" s="97"/>
      <c r="DO144" s="97"/>
      <c r="DP144" s="97"/>
      <c r="DQ144" s="97"/>
      <c r="DR144" s="97"/>
      <c r="DS144" s="97"/>
      <c r="DT144" s="97"/>
      <c r="DU144" s="97"/>
      <c r="DV144" s="97"/>
      <c r="DW144" s="97"/>
      <c r="DX144" s="97"/>
    </row>
    <row r="145" ht="14.25" customHeight="1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97"/>
      <c r="AH145" s="97"/>
      <c r="AI145" s="97"/>
      <c r="AJ145" s="97"/>
      <c r="AK145" s="97"/>
      <c r="AL145" s="97"/>
      <c r="AM145" s="97"/>
      <c r="AN145" s="97"/>
      <c r="AO145" s="97"/>
      <c r="AP145" s="97"/>
      <c r="AQ145" s="97"/>
      <c r="AR145" s="97"/>
      <c r="AS145" s="97"/>
      <c r="AT145" s="97"/>
      <c r="AU145" s="97"/>
      <c r="AV145" s="97"/>
      <c r="AW145" s="97"/>
      <c r="AX145" s="97"/>
      <c r="AY145" s="97"/>
      <c r="AZ145" s="97"/>
      <c r="BA145" s="97"/>
      <c r="BB145" s="97"/>
      <c r="BC145" s="97"/>
      <c r="BD145" s="97"/>
      <c r="BE145" s="97"/>
      <c r="BF145" s="97"/>
      <c r="BG145" s="97"/>
      <c r="BH145" s="97"/>
      <c r="BI145" s="97"/>
      <c r="BJ145" s="97"/>
      <c r="BK145" s="97"/>
      <c r="BL145" s="97"/>
      <c r="BM145" s="97"/>
      <c r="BN145" s="97"/>
      <c r="BO145" s="97"/>
      <c r="BP145" s="97"/>
      <c r="BQ145" s="97"/>
      <c r="BR145" s="97"/>
      <c r="BS145" s="97"/>
      <c r="BT145" s="97"/>
      <c r="BU145" s="97"/>
      <c r="BV145" s="97"/>
      <c r="BW145" s="97"/>
      <c r="BX145" s="97"/>
      <c r="BY145" s="97"/>
      <c r="BZ145" s="97"/>
      <c r="CA145" s="97"/>
      <c r="CB145" s="97"/>
      <c r="CC145" s="97"/>
      <c r="CD145" s="97"/>
      <c r="CE145" s="97"/>
      <c r="CF145" s="97"/>
      <c r="CG145" s="97"/>
      <c r="CH145" s="97"/>
      <c r="CI145" s="97"/>
      <c r="CJ145" s="97"/>
      <c r="CK145" s="97"/>
      <c r="CL145" s="97"/>
      <c r="CM145" s="97"/>
      <c r="CN145" s="97"/>
      <c r="CO145" s="97"/>
      <c r="CP145" s="97"/>
      <c r="CQ145" s="97"/>
      <c r="CR145" s="97"/>
      <c r="CS145" s="97"/>
      <c r="CT145" s="97"/>
      <c r="CU145" s="97"/>
      <c r="CV145" s="97"/>
      <c r="CW145" s="97"/>
      <c r="CX145" s="97"/>
      <c r="CY145" s="97"/>
      <c r="CZ145" s="97"/>
      <c r="DA145" s="97"/>
      <c r="DB145" s="97"/>
      <c r="DC145" s="97"/>
      <c r="DD145" s="97"/>
      <c r="DE145" s="97"/>
      <c r="DF145" s="97"/>
      <c r="DG145" s="97"/>
      <c r="DH145" s="97"/>
      <c r="DI145" s="97"/>
      <c r="DJ145" s="97"/>
      <c r="DK145" s="97"/>
      <c r="DL145" s="97"/>
      <c r="DM145" s="97"/>
      <c r="DN145" s="97"/>
      <c r="DO145" s="97"/>
      <c r="DP145" s="97"/>
      <c r="DQ145" s="97"/>
      <c r="DR145" s="97"/>
      <c r="DS145" s="97"/>
      <c r="DT145" s="97"/>
      <c r="DU145" s="97"/>
      <c r="DV145" s="97"/>
      <c r="DW145" s="97"/>
      <c r="DX145" s="97"/>
    </row>
    <row r="146" ht="14.25" customHeight="1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97"/>
      <c r="AH146" s="97"/>
      <c r="AI146" s="97"/>
      <c r="AJ146" s="97"/>
      <c r="AK146" s="97"/>
      <c r="AL146" s="97"/>
      <c r="AM146" s="97"/>
      <c r="AN146" s="97"/>
      <c r="AO146" s="97"/>
      <c r="AP146" s="97"/>
      <c r="AQ146" s="97"/>
      <c r="AR146" s="97"/>
      <c r="AS146" s="97"/>
      <c r="AT146" s="97"/>
      <c r="AU146" s="97"/>
      <c r="AV146" s="97"/>
      <c r="AW146" s="97"/>
      <c r="AX146" s="97"/>
      <c r="AY146" s="97"/>
      <c r="AZ146" s="97"/>
      <c r="BA146" s="97"/>
      <c r="BB146" s="97"/>
      <c r="BC146" s="97"/>
      <c r="BD146" s="97"/>
      <c r="BE146" s="97"/>
      <c r="BF146" s="97"/>
      <c r="BG146" s="97"/>
      <c r="BH146" s="97"/>
      <c r="BI146" s="97"/>
      <c r="BJ146" s="97"/>
      <c r="BK146" s="97"/>
      <c r="BL146" s="97"/>
      <c r="BM146" s="97"/>
      <c r="BN146" s="97"/>
      <c r="BO146" s="97"/>
      <c r="BP146" s="97"/>
      <c r="BQ146" s="97"/>
      <c r="BR146" s="97"/>
      <c r="BS146" s="97"/>
      <c r="BT146" s="97"/>
      <c r="BU146" s="97"/>
      <c r="BV146" s="97"/>
      <c r="BW146" s="97"/>
      <c r="BX146" s="97"/>
      <c r="BY146" s="97"/>
      <c r="BZ146" s="97"/>
      <c r="CA146" s="97"/>
      <c r="CB146" s="97"/>
      <c r="CC146" s="97"/>
      <c r="CD146" s="97"/>
      <c r="CE146" s="97"/>
      <c r="CF146" s="97"/>
      <c r="CG146" s="97"/>
      <c r="CH146" s="97"/>
      <c r="CI146" s="97"/>
      <c r="CJ146" s="97"/>
      <c r="CK146" s="97"/>
      <c r="CL146" s="97"/>
      <c r="CM146" s="97"/>
      <c r="CN146" s="97"/>
      <c r="CO146" s="97"/>
      <c r="CP146" s="97"/>
      <c r="CQ146" s="97"/>
      <c r="CR146" s="97"/>
      <c r="CS146" s="97"/>
      <c r="CT146" s="97"/>
      <c r="CU146" s="97"/>
      <c r="CV146" s="97"/>
      <c r="CW146" s="97"/>
      <c r="CX146" s="97"/>
      <c r="CY146" s="97"/>
      <c r="CZ146" s="97"/>
      <c r="DA146" s="97"/>
      <c r="DB146" s="97"/>
      <c r="DC146" s="97"/>
      <c r="DD146" s="97"/>
      <c r="DE146" s="97"/>
      <c r="DF146" s="97"/>
      <c r="DG146" s="97"/>
      <c r="DH146" s="97"/>
      <c r="DI146" s="97"/>
      <c r="DJ146" s="97"/>
      <c r="DK146" s="97"/>
      <c r="DL146" s="97"/>
      <c r="DM146" s="97"/>
      <c r="DN146" s="97"/>
      <c r="DO146" s="97"/>
      <c r="DP146" s="97"/>
      <c r="DQ146" s="97"/>
      <c r="DR146" s="97"/>
      <c r="DS146" s="97"/>
      <c r="DT146" s="97"/>
      <c r="DU146" s="97"/>
      <c r="DV146" s="97"/>
      <c r="DW146" s="97"/>
      <c r="DX146" s="97"/>
    </row>
    <row r="147" ht="14.25" customHeight="1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97"/>
      <c r="AH147" s="97"/>
      <c r="AI147" s="97"/>
      <c r="AJ147" s="97"/>
      <c r="AK147" s="97"/>
      <c r="AL147" s="97"/>
      <c r="AM147" s="97"/>
      <c r="AN147" s="97"/>
      <c r="AO147" s="97"/>
      <c r="AP147" s="97"/>
      <c r="AQ147" s="97"/>
      <c r="AR147" s="97"/>
      <c r="AS147" s="97"/>
      <c r="AT147" s="97"/>
      <c r="AU147" s="97"/>
      <c r="AV147" s="97"/>
      <c r="AW147" s="97"/>
      <c r="AX147" s="97"/>
      <c r="AY147" s="97"/>
      <c r="AZ147" s="97"/>
      <c r="BA147" s="97"/>
      <c r="BB147" s="97"/>
      <c r="BC147" s="97"/>
      <c r="BD147" s="97"/>
      <c r="BE147" s="97"/>
      <c r="BF147" s="97"/>
      <c r="BG147" s="97"/>
      <c r="BH147" s="97"/>
      <c r="BI147" s="97"/>
      <c r="BJ147" s="97"/>
      <c r="BK147" s="97"/>
      <c r="BL147" s="97"/>
      <c r="BM147" s="97"/>
      <c r="BN147" s="97"/>
      <c r="BO147" s="97"/>
      <c r="BP147" s="97"/>
      <c r="BQ147" s="97"/>
      <c r="BR147" s="97"/>
      <c r="BS147" s="97"/>
      <c r="BT147" s="97"/>
      <c r="BU147" s="97"/>
      <c r="BV147" s="97"/>
      <c r="BW147" s="97"/>
      <c r="BX147" s="97"/>
      <c r="BY147" s="97"/>
      <c r="BZ147" s="97"/>
      <c r="CA147" s="97"/>
      <c r="CB147" s="97"/>
      <c r="CC147" s="97"/>
      <c r="CD147" s="97"/>
      <c r="CE147" s="97"/>
      <c r="CF147" s="97"/>
      <c r="CG147" s="97"/>
      <c r="CH147" s="97"/>
      <c r="CI147" s="97"/>
      <c r="CJ147" s="97"/>
      <c r="CK147" s="97"/>
      <c r="CL147" s="97"/>
      <c r="CM147" s="97"/>
      <c r="CN147" s="97"/>
      <c r="CO147" s="97"/>
      <c r="CP147" s="97"/>
      <c r="CQ147" s="97"/>
      <c r="CR147" s="97"/>
      <c r="CS147" s="97"/>
      <c r="CT147" s="97"/>
      <c r="CU147" s="97"/>
      <c r="CV147" s="97"/>
      <c r="CW147" s="97"/>
      <c r="CX147" s="97"/>
      <c r="CY147" s="97"/>
      <c r="CZ147" s="97"/>
      <c r="DA147" s="97"/>
      <c r="DB147" s="97"/>
      <c r="DC147" s="97"/>
      <c r="DD147" s="97"/>
      <c r="DE147" s="97"/>
      <c r="DF147" s="97"/>
      <c r="DG147" s="97"/>
      <c r="DH147" s="97"/>
      <c r="DI147" s="97"/>
      <c r="DJ147" s="97"/>
      <c r="DK147" s="97"/>
      <c r="DL147" s="97"/>
      <c r="DM147" s="97"/>
      <c r="DN147" s="97"/>
      <c r="DO147" s="97"/>
      <c r="DP147" s="97"/>
      <c r="DQ147" s="97"/>
      <c r="DR147" s="97"/>
      <c r="DS147" s="97"/>
      <c r="DT147" s="97"/>
      <c r="DU147" s="97"/>
      <c r="DV147" s="97"/>
      <c r="DW147" s="97"/>
      <c r="DX147" s="97"/>
    </row>
    <row r="148" ht="14.25" customHeight="1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97"/>
      <c r="AH148" s="97"/>
      <c r="AI148" s="97"/>
      <c r="AJ148" s="97"/>
      <c r="AK148" s="97"/>
      <c r="AL148" s="97"/>
      <c r="AM148" s="97"/>
      <c r="AN148" s="97"/>
      <c r="AO148" s="97"/>
      <c r="AP148" s="97"/>
      <c r="AQ148" s="97"/>
      <c r="AR148" s="97"/>
      <c r="AS148" s="97"/>
      <c r="AT148" s="97"/>
      <c r="AU148" s="97"/>
      <c r="AV148" s="97"/>
      <c r="AW148" s="97"/>
      <c r="AX148" s="97"/>
      <c r="AY148" s="97"/>
      <c r="AZ148" s="97"/>
      <c r="BA148" s="97"/>
      <c r="BB148" s="97"/>
      <c r="BC148" s="97"/>
      <c r="BD148" s="97"/>
      <c r="BE148" s="97"/>
      <c r="BF148" s="97"/>
      <c r="BG148" s="97"/>
      <c r="BH148" s="97"/>
      <c r="BI148" s="97"/>
      <c r="BJ148" s="97"/>
      <c r="BK148" s="97"/>
      <c r="BL148" s="97"/>
      <c r="BM148" s="97"/>
      <c r="BN148" s="97"/>
      <c r="BO148" s="97"/>
      <c r="BP148" s="97"/>
      <c r="BQ148" s="97"/>
      <c r="BR148" s="97"/>
      <c r="BS148" s="97"/>
      <c r="BT148" s="97"/>
      <c r="BU148" s="97"/>
      <c r="BV148" s="97"/>
      <c r="BW148" s="97"/>
      <c r="BX148" s="97"/>
      <c r="BY148" s="97"/>
      <c r="BZ148" s="97"/>
      <c r="CA148" s="97"/>
      <c r="CB148" s="97"/>
      <c r="CC148" s="97"/>
      <c r="CD148" s="97"/>
      <c r="CE148" s="97"/>
      <c r="CF148" s="97"/>
      <c r="CG148" s="97"/>
      <c r="CH148" s="97"/>
      <c r="CI148" s="97"/>
      <c r="CJ148" s="97"/>
      <c r="CK148" s="97"/>
      <c r="CL148" s="97"/>
      <c r="CM148" s="97"/>
      <c r="CN148" s="97"/>
      <c r="CO148" s="97"/>
      <c r="CP148" s="97"/>
      <c r="CQ148" s="97"/>
      <c r="CR148" s="97"/>
      <c r="CS148" s="97"/>
      <c r="CT148" s="97"/>
      <c r="CU148" s="97"/>
      <c r="CV148" s="97"/>
      <c r="CW148" s="97"/>
      <c r="CX148" s="97"/>
      <c r="CY148" s="97"/>
      <c r="CZ148" s="97"/>
      <c r="DA148" s="97"/>
      <c r="DB148" s="97"/>
      <c r="DC148" s="97"/>
      <c r="DD148" s="97"/>
      <c r="DE148" s="97"/>
      <c r="DF148" s="97"/>
      <c r="DG148" s="97"/>
      <c r="DH148" s="97"/>
      <c r="DI148" s="97"/>
      <c r="DJ148" s="97"/>
      <c r="DK148" s="97"/>
      <c r="DL148" s="97"/>
      <c r="DM148" s="97"/>
      <c r="DN148" s="97"/>
      <c r="DO148" s="97"/>
      <c r="DP148" s="97"/>
      <c r="DQ148" s="97"/>
      <c r="DR148" s="97"/>
      <c r="DS148" s="97"/>
      <c r="DT148" s="97"/>
      <c r="DU148" s="97"/>
      <c r="DV148" s="97"/>
      <c r="DW148" s="97"/>
      <c r="DX148" s="97"/>
    </row>
    <row r="149" ht="14.25" customHeight="1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7"/>
      <c r="AH149" s="97"/>
      <c r="AI149" s="97"/>
      <c r="AJ149" s="97"/>
      <c r="AK149" s="97"/>
      <c r="AL149" s="97"/>
      <c r="AM149" s="97"/>
      <c r="AN149" s="97"/>
      <c r="AO149" s="97"/>
      <c r="AP149" s="97"/>
      <c r="AQ149" s="97"/>
      <c r="AR149" s="97"/>
      <c r="AS149" s="97"/>
      <c r="AT149" s="97"/>
      <c r="AU149" s="97"/>
      <c r="AV149" s="97"/>
      <c r="AW149" s="97"/>
      <c r="AX149" s="97"/>
      <c r="AY149" s="97"/>
      <c r="AZ149" s="97"/>
      <c r="BA149" s="97"/>
      <c r="BB149" s="97"/>
      <c r="BC149" s="97"/>
      <c r="BD149" s="97"/>
      <c r="BE149" s="97"/>
      <c r="BF149" s="97"/>
      <c r="BG149" s="97"/>
      <c r="BH149" s="97"/>
      <c r="BI149" s="97"/>
      <c r="BJ149" s="97"/>
      <c r="BK149" s="97"/>
      <c r="BL149" s="97"/>
      <c r="BM149" s="97"/>
      <c r="BN149" s="97"/>
      <c r="BO149" s="97"/>
      <c r="BP149" s="97"/>
      <c r="BQ149" s="97"/>
      <c r="BR149" s="97"/>
      <c r="BS149" s="97"/>
      <c r="BT149" s="97"/>
      <c r="BU149" s="97"/>
      <c r="BV149" s="97"/>
      <c r="BW149" s="97"/>
      <c r="BX149" s="97"/>
      <c r="BY149" s="97"/>
      <c r="BZ149" s="97"/>
      <c r="CA149" s="97"/>
      <c r="CB149" s="97"/>
      <c r="CC149" s="97"/>
      <c r="CD149" s="97"/>
      <c r="CE149" s="97"/>
      <c r="CF149" s="97"/>
      <c r="CG149" s="97"/>
      <c r="CH149" s="97"/>
      <c r="CI149" s="97"/>
      <c r="CJ149" s="97"/>
      <c r="CK149" s="97"/>
      <c r="CL149" s="97"/>
      <c r="CM149" s="97"/>
      <c r="CN149" s="97"/>
      <c r="CO149" s="97"/>
      <c r="CP149" s="97"/>
      <c r="CQ149" s="97"/>
      <c r="CR149" s="97"/>
      <c r="CS149" s="97"/>
      <c r="CT149" s="97"/>
      <c r="CU149" s="97"/>
      <c r="CV149" s="97"/>
      <c r="CW149" s="97"/>
      <c r="CX149" s="97"/>
      <c r="CY149" s="97"/>
      <c r="CZ149" s="97"/>
      <c r="DA149" s="97"/>
      <c r="DB149" s="97"/>
      <c r="DC149" s="97"/>
      <c r="DD149" s="97"/>
      <c r="DE149" s="97"/>
      <c r="DF149" s="97"/>
      <c r="DG149" s="97"/>
      <c r="DH149" s="97"/>
      <c r="DI149" s="97"/>
      <c r="DJ149" s="97"/>
      <c r="DK149" s="97"/>
      <c r="DL149" s="97"/>
      <c r="DM149" s="97"/>
      <c r="DN149" s="97"/>
      <c r="DO149" s="97"/>
      <c r="DP149" s="97"/>
      <c r="DQ149" s="97"/>
      <c r="DR149" s="97"/>
      <c r="DS149" s="97"/>
      <c r="DT149" s="97"/>
      <c r="DU149" s="97"/>
      <c r="DV149" s="97"/>
      <c r="DW149" s="97"/>
      <c r="DX149" s="97"/>
    </row>
    <row r="150" ht="14.25" customHeight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97"/>
      <c r="AH150" s="97"/>
      <c r="AI150" s="97"/>
      <c r="AJ150" s="97"/>
      <c r="AK150" s="97"/>
      <c r="AL150" s="97"/>
      <c r="AM150" s="97"/>
      <c r="AN150" s="97"/>
      <c r="AO150" s="97"/>
      <c r="AP150" s="97"/>
      <c r="AQ150" s="97"/>
      <c r="AR150" s="97"/>
      <c r="AS150" s="97"/>
      <c r="AT150" s="97"/>
      <c r="AU150" s="97"/>
      <c r="AV150" s="97"/>
      <c r="AW150" s="97"/>
      <c r="AX150" s="97"/>
      <c r="AY150" s="97"/>
      <c r="AZ150" s="97"/>
      <c r="BA150" s="97"/>
      <c r="BB150" s="97"/>
      <c r="BC150" s="97"/>
      <c r="BD150" s="97"/>
      <c r="BE150" s="97"/>
      <c r="BF150" s="97"/>
      <c r="BG150" s="97"/>
      <c r="BH150" s="97"/>
      <c r="BI150" s="97"/>
      <c r="BJ150" s="97"/>
      <c r="BK150" s="97"/>
      <c r="BL150" s="97"/>
      <c r="BM150" s="97"/>
      <c r="BN150" s="97"/>
      <c r="BO150" s="97"/>
      <c r="BP150" s="97"/>
      <c r="BQ150" s="97"/>
      <c r="BR150" s="97"/>
      <c r="BS150" s="97"/>
      <c r="BT150" s="97"/>
      <c r="BU150" s="97"/>
      <c r="BV150" s="97"/>
      <c r="BW150" s="97"/>
      <c r="BX150" s="97"/>
      <c r="BY150" s="97"/>
      <c r="BZ150" s="97"/>
      <c r="CA150" s="97"/>
      <c r="CB150" s="97"/>
      <c r="CC150" s="97"/>
      <c r="CD150" s="97"/>
      <c r="CE150" s="97"/>
      <c r="CF150" s="97"/>
      <c r="CG150" s="97"/>
      <c r="CH150" s="97"/>
      <c r="CI150" s="97"/>
      <c r="CJ150" s="97"/>
      <c r="CK150" s="97"/>
      <c r="CL150" s="97"/>
      <c r="CM150" s="97"/>
      <c r="CN150" s="97"/>
      <c r="CO150" s="97"/>
      <c r="CP150" s="97"/>
      <c r="CQ150" s="97"/>
      <c r="CR150" s="97"/>
      <c r="CS150" s="97"/>
      <c r="CT150" s="97"/>
      <c r="CU150" s="97"/>
      <c r="CV150" s="97"/>
      <c r="CW150" s="97"/>
      <c r="CX150" s="97"/>
      <c r="CY150" s="97"/>
      <c r="CZ150" s="97"/>
      <c r="DA150" s="97"/>
      <c r="DB150" s="97"/>
      <c r="DC150" s="97"/>
      <c r="DD150" s="97"/>
      <c r="DE150" s="97"/>
      <c r="DF150" s="97"/>
      <c r="DG150" s="97"/>
      <c r="DH150" s="97"/>
      <c r="DI150" s="97"/>
      <c r="DJ150" s="97"/>
      <c r="DK150" s="97"/>
      <c r="DL150" s="97"/>
      <c r="DM150" s="97"/>
      <c r="DN150" s="97"/>
      <c r="DO150" s="97"/>
      <c r="DP150" s="97"/>
      <c r="DQ150" s="97"/>
      <c r="DR150" s="97"/>
      <c r="DS150" s="97"/>
      <c r="DT150" s="97"/>
      <c r="DU150" s="97"/>
      <c r="DV150" s="97"/>
      <c r="DW150" s="97"/>
      <c r="DX150" s="97"/>
    </row>
    <row r="151" ht="14.25" customHeight="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97"/>
      <c r="AH151" s="97"/>
      <c r="AI151" s="97"/>
      <c r="AJ151" s="97"/>
      <c r="AK151" s="97"/>
      <c r="AL151" s="97"/>
      <c r="AM151" s="97"/>
      <c r="AN151" s="97"/>
      <c r="AO151" s="97"/>
      <c r="AP151" s="97"/>
      <c r="AQ151" s="97"/>
      <c r="AR151" s="97"/>
      <c r="AS151" s="97"/>
      <c r="AT151" s="97"/>
      <c r="AU151" s="97"/>
      <c r="AV151" s="97"/>
      <c r="AW151" s="97"/>
      <c r="AX151" s="97"/>
      <c r="AY151" s="97"/>
      <c r="AZ151" s="97"/>
      <c r="BA151" s="97"/>
      <c r="BB151" s="97"/>
      <c r="BC151" s="97"/>
      <c r="BD151" s="97"/>
      <c r="BE151" s="97"/>
      <c r="BF151" s="97"/>
      <c r="BG151" s="97"/>
      <c r="BH151" s="97"/>
      <c r="BI151" s="97"/>
      <c r="BJ151" s="97"/>
      <c r="BK151" s="97"/>
      <c r="BL151" s="97"/>
      <c r="BM151" s="97"/>
      <c r="BN151" s="97"/>
      <c r="BO151" s="97"/>
      <c r="BP151" s="97"/>
      <c r="BQ151" s="97"/>
      <c r="BR151" s="97"/>
      <c r="BS151" s="97"/>
      <c r="BT151" s="97"/>
      <c r="BU151" s="97"/>
      <c r="BV151" s="97"/>
      <c r="BW151" s="97"/>
      <c r="BX151" s="97"/>
      <c r="BY151" s="97"/>
      <c r="BZ151" s="97"/>
      <c r="CA151" s="97"/>
      <c r="CB151" s="97"/>
      <c r="CC151" s="97"/>
      <c r="CD151" s="97"/>
      <c r="CE151" s="97"/>
      <c r="CF151" s="97"/>
      <c r="CG151" s="97"/>
      <c r="CH151" s="97"/>
      <c r="CI151" s="97"/>
      <c r="CJ151" s="97"/>
      <c r="CK151" s="97"/>
      <c r="CL151" s="97"/>
      <c r="CM151" s="97"/>
      <c r="CN151" s="97"/>
      <c r="CO151" s="97"/>
      <c r="CP151" s="97"/>
      <c r="CQ151" s="97"/>
      <c r="CR151" s="97"/>
      <c r="CS151" s="97"/>
      <c r="CT151" s="97"/>
      <c r="CU151" s="97"/>
      <c r="CV151" s="97"/>
      <c r="CW151" s="97"/>
      <c r="CX151" s="97"/>
      <c r="CY151" s="97"/>
      <c r="CZ151" s="97"/>
      <c r="DA151" s="97"/>
      <c r="DB151" s="97"/>
      <c r="DC151" s="97"/>
      <c r="DD151" s="97"/>
      <c r="DE151" s="97"/>
      <c r="DF151" s="97"/>
      <c r="DG151" s="97"/>
      <c r="DH151" s="97"/>
      <c r="DI151" s="97"/>
      <c r="DJ151" s="97"/>
      <c r="DK151" s="97"/>
      <c r="DL151" s="97"/>
      <c r="DM151" s="97"/>
      <c r="DN151" s="97"/>
      <c r="DO151" s="97"/>
      <c r="DP151" s="97"/>
      <c r="DQ151" s="97"/>
      <c r="DR151" s="97"/>
      <c r="DS151" s="97"/>
      <c r="DT151" s="97"/>
      <c r="DU151" s="97"/>
      <c r="DV151" s="97"/>
      <c r="DW151" s="97"/>
      <c r="DX151" s="97"/>
    </row>
    <row r="152" ht="14.25" customHeight="1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97"/>
      <c r="AH152" s="97"/>
      <c r="AI152" s="97"/>
      <c r="AJ152" s="97"/>
      <c r="AK152" s="97"/>
      <c r="AL152" s="97"/>
      <c r="AM152" s="97"/>
      <c r="AN152" s="97"/>
      <c r="AO152" s="97"/>
      <c r="AP152" s="97"/>
      <c r="AQ152" s="97"/>
      <c r="AR152" s="97"/>
      <c r="AS152" s="97"/>
      <c r="AT152" s="97"/>
      <c r="AU152" s="97"/>
      <c r="AV152" s="97"/>
      <c r="AW152" s="97"/>
      <c r="AX152" s="97"/>
      <c r="AY152" s="97"/>
      <c r="AZ152" s="97"/>
      <c r="BA152" s="97"/>
      <c r="BB152" s="97"/>
      <c r="BC152" s="97"/>
      <c r="BD152" s="97"/>
      <c r="BE152" s="97"/>
      <c r="BF152" s="97"/>
      <c r="BG152" s="97"/>
      <c r="BH152" s="97"/>
      <c r="BI152" s="97"/>
      <c r="BJ152" s="97"/>
      <c r="BK152" s="97"/>
      <c r="BL152" s="97"/>
      <c r="BM152" s="97"/>
      <c r="BN152" s="97"/>
      <c r="BO152" s="97"/>
      <c r="BP152" s="97"/>
      <c r="BQ152" s="97"/>
      <c r="BR152" s="97"/>
      <c r="BS152" s="97"/>
      <c r="BT152" s="97"/>
      <c r="BU152" s="97"/>
      <c r="BV152" s="97"/>
      <c r="BW152" s="97"/>
      <c r="BX152" s="97"/>
      <c r="BY152" s="97"/>
      <c r="BZ152" s="97"/>
      <c r="CA152" s="97"/>
      <c r="CB152" s="97"/>
      <c r="CC152" s="97"/>
      <c r="CD152" s="97"/>
      <c r="CE152" s="97"/>
      <c r="CF152" s="97"/>
      <c r="CG152" s="97"/>
      <c r="CH152" s="97"/>
      <c r="CI152" s="97"/>
      <c r="CJ152" s="97"/>
      <c r="CK152" s="97"/>
      <c r="CL152" s="97"/>
      <c r="CM152" s="97"/>
      <c r="CN152" s="97"/>
      <c r="CO152" s="97"/>
      <c r="CP152" s="97"/>
      <c r="CQ152" s="97"/>
      <c r="CR152" s="97"/>
      <c r="CS152" s="97"/>
      <c r="CT152" s="97"/>
      <c r="CU152" s="97"/>
      <c r="CV152" s="97"/>
      <c r="CW152" s="97"/>
      <c r="CX152" s="97"/>
      <c r="CY152" s="97"/>
      <c r="CZ152" s="97"/>
      <c r="DA152" s="97"/>
      <c r="DB152" s="97"/>
      <c r="DC152" s="97"/>
      <c r="DD152" s="97"/>
      <c r="DE152" s="97"/>
      <c r="DF152" s="97"/>
      <c r="DG152" s="97"/>
      <c r="DH152" s="97"/>
      <c r="DI152" s="97"/>
      <c r="DJ152" s="97"/>
      <c r="DK152" s="97"/>
      <c r="DL152" s="97"/>
      <c r="DM152" s="97"/>
      <c r="DN152" s="97"/>
      <c r="DO152" s="97"/>
      <c r="DP152" s="97"/>
      <c r="DQ152" s="97"/>
      <c r="DR152" s="97"/>
      <c r="DS152" s="97"/>
      <c r="DT152" s="97"/>
      <c r="DU152" s="97"/>
      <c r="DV152" s="97"/>
      <c r="DW152" s="97"/>
      <c r="DX152" s="97"/>
    </row>
    <row r="153" ht="14.25" customHeight="1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97"/>
      <c r="AH153" s="97"/>
      <c r="AI153" s="97"/>
      <c r="AJ153" s="97"/>
      <c r="AK153" s="97"/>
      <c r="AL153" s="97"/>
      <c r="AM153" s="97"/>
      <c r="AN153" s="97"/>
      <c r="AO153" s="97"/>
      <c r="AP153" s="97"/>
      <c r="AQ153" s="97"/>
      <c r="AR153" s="97"/>
      <c r="AS153" s="97"/>
      <c r="AT153" s="97"/>
      <c r="AU153" s="97"/>
      <c r="AV153" s="97"/>
      <c r="AW153" s="97"/>
      <c r="AX153" s="97"/>
      <c r="AY153" s="97"/>
      <c r="AZ153" s="97"/>
      <c r="BA153" s="97"/>
      <c r="BB153" s="97"/>
      <c r="BC153" s="97"/>
      <c r="BD153" s="97"/>
      <c r="BE153" s="97"/>
      <c r="BF153" s="97"/>
      <c r="BG153" s="97"/>
      <c r="BH153" s="97"/>
      <c r="BI153" s="97"/>
      <c r="BJ153" s="97"/>
      <c r="BK153" s="97"/>
      <c r="BL153" s="97"/>
      <c r="BM153" s="97"/>
      <c r="BN153" s="97"/>
      <c r="BO153" s="97"/>
      <c r="BP153" s="97"/>
      <c r="BQ153" s="97"/>
      <c r="BR153" s="97"/>
      <c r="BS153" s="97"/>
      <c r="BT153" s="97"/>
      <c r="BU153" s="97"/>
      <c r="BV153" s="97"/>
      <c r="BW153" s="97"/>
      <c r="BX153" s="97"/>
      <c r="BY153" s="97"/>
      <c r="BZ153" s="97"/>
      <c r="CA153" s="97"/>
      <c r="CB153" s="97"/>
      <c r="CC153" s="97"/>
      <c r="CD153" s="97"/>
      <c r="CE153" s="97"/>
      <c r="CF153" s="97"/>
      <c r="CG153" s="97"/>
      <c r="CH153" s="97"/>
      <c r="CI153" s="97"/>
      <c r="CJ153" s="97"/>
      <c r="CK153" s="97"/>
      <c r="CL153" s="97"/>
      <c r="CM153" s="97"/>
      <c r="CN153" s="97"/>
      <c r="CO153" s="97"/>
      <c r="CP153" s="97"/>
      <c r="CQ153" s="97"/>
      <c r="CR153" s="97"/>
      <c r="CS153" s="97"/>
      <c r="CT153" s="97"/>
      <c r="CU153" s="97"/>
      <c r="CV153" s="97"/>
      <c r="CW153" s="97"/>
      <c r="CX153" s="97"/>
      <c r="CY153" s="97"/>
      <c r="CZ153" s="97"/>
      <c r="DA153" s="97"/>
      <c r="DB153" s="97"/>
      <c r="DC153" s="97"/>
      <c r="DD153" s="97"/>
      <c r="DE153" s="97"/>
      <c r="DF153" s="97"/>
      <c r="DG153" s="97"/>
      <c r="DH153" s="97"/>
      <c r="DI153" s="97"/>
      <c r="DJ153" s="97"/>
      <c r="DK153" s="97"/>
      <c r="DL153" s="97"/>
      <c r="DM153" s="97"/>
      <c r="DN153" s="97"/>
      <c r="DO153" s="97"/>
      <c r="DP153" s="97"/>
      <c r="DQ153" s="97"/>
      <c r="DR153" s="97"/>
      <c r="DS153" s="97"/>
      <c r="DT153" s="97"/>
      <c r="DU153" s="97"/>
      <c r="DV153" s="97"/>
      <c r="DW153" s="97"/>
      <c r="DX153" s="97"/>
    </row>
    <row r="154" ht="14.25" customHeight="1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97"/>
      <c r="AH154" s="97"/>
      <c r="AI154" s="97"/>
      <c r="AJ154" s="97"/>
      <c r="AK154" s="97"/>
      <c r="AL154" s="97"/>
      <c r="AM154" s="97"/>
      <c r="AN154" s="97"/>
      <c r="AO154" s="97"/>
      <c r="AP154" s="97"/>
      <c r="AQ154" s="97"/>
      <c r="AR154" s="97"/>
      <c r="AS154" s="97"/>
      <c r="AT154" s="97"/>
      <c r="AU154" s="97"/>
      <c r="AV154" s="97"/>
      <c r="AW154" s="97"/>
      <c r="AX154" s="97"/>
      <c r="AY154" s="97"/>
      <c r="AZ154" s="97"/>
      <c r="BA154" s="97"/>
      <c r="BB154" s="97"/>
      <c r="BC154" s="97"/>
      <c r="BD154" s="97"/>
      <c r="BE154" s="97"/>
      <c r="BF154" s="97"/>
      <c r="BG154" s="97"/>
      <c r="BH154" s="97"/>
      <c r="BI154" s="97"/>
      <c r="BJ154" s="97"/>
      <c r="BK154" s="97"/>
      <c r="BL154" s="97"/>
      <c r="BM154" s="97"/>
      <c r="BN154" s="97"/>
      <c r="BO154" s="97"/>
      <c r="BP154" s="97"/>
      <c r="BQ154" s="97"/>
      <c r="BR154" s="97"/>
      <c r="BS154" s="97"/>
      <c r="BT154" s="97"/>
      <c r="BU154" s="97"/>
      <c r="BV154" s="97"/>
      <c r="BW154" s="97"/>
      <c r="BX154" s="97"/>
      <c r="BY154" s="97"/>
      <c r="BZ154" s="97"/>
      <c r="CA154" s="97"/>
      <c r="CB154" s="97"/>
      <c r="CC154" s="97"/>
      <c r="CD154" s="97"/>
      <c r="CE154" s="97"/>
      <c r="CF154" s="97"/>
      <c r="CG154" s="97"/>
      <c r="CH154" s="97"/>
      <c r="CI154" s="97"/>
      <c r="CJ154" s="97"/>
      <c r="CK154" s="97"/>
      <c r="CL154" s="97"/>
      <c r="CM154" s="97"/>
      <c r="CN154" s="97"/>
      <c r="CO154" s="97"/>
      <c r="CP154" s="97"/>
      <c r="CQ154" s="97"/>
      <c r="CR154" s="97"/>
      <c r="CS154" s="97"/>
      <c r="CT154" s="97"/>
      <c r="CU154" s="97"/>
      <c r="CV154" s="97"/>
      <c r="CW154" s="97"/>
      <c r="CX154" s="97"/>
      <c r="CY154" s="97"/>
      <c r="CZ154" s="97"/>
      <c r="DA154" s="97"/>
      <c r="DB154" s="97"/>
      <c r="DC154" s="97"/>
      <c r="DD154" s="97"/>
      <c r="DE154" s="97"/>
      <c r="DF154" s="97"/>
      <c r="DG154" s="97"/>
      <c r="DH154" s="97"/>
      <c r="DI154" s="97"/>
      <c r="DJ154" s="97"/>
      <c r="DK154" s="97"/>
      <c r="DL154" s="97"/>
      <c r="DM154" s="97"/>
      <c r="DN154" s="97"/>
      <c r="DO154" s="97"/>
      <c r="DP154" s="97"/>
      <c r="DQ154" s="97"/>
      <c r="DR154" s="97"/>
      <c r="DS154" s="97"/>
      <c r="DT154" s="97"/>
      <c r="DU154" s="97"/>
      <c r="DV154" s="97"/>
      <c r="DW154" s="97"/>
      <c r="DX154" s="97"/>
    </row>
    <row r="155" ht="14.25" customHeight="1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97"/>
      <c r="AH155" s="97"/>
      <c r="AI155" s="97"/>
      <c r="AJ155" s="97"/>
      <c r="AK155" s="97"/>
      <c r="AL155" s="97"/>
      <c r="AM155" s="97"/>
      <c r="AN155" s="97"/>
      <c r="AO155" s="97"/>
      <c r="AP155" s="97"/>
      <c r="AQ155" s="97"/>
      <c r="AR155" s="97"/>
      <c r="AS155" s="97"/>
      <c r="AT155" s="97"/>
      <c r="AU155" s="97"/>
      <c r="AV155" s="97"/>
      <c r="AW155" s="97"/>
      <c r="AX155" s="97"/>
      <c r="AY155" s="97"/>
      <c r="AZ155" s="97"/>
      <c r="BA155" s="97"/>
      <c r="BB155" s="97"/>
      <c r="BC155" s="97"/>
      <c r="BD155" s="97"/>
      <c r="BE155" s="97"/>
      <c r="BF155" s="97"/>
      <c r="BG155" s="97"/>
      <c r="BH155" s="97"/>
      <c r="BI155" s="97"/>
      <c r="BJ155" s="97"/>
      <c r="BK155" s="97"/>
      <c r="BL155" s="97"/>
      <c r="BM155" s="97"/>
      <c r="BN155" s="97"/>
      <c r="BO155" s="97"/>
      <c r="BP155" s="97"/>
      <c r="BQ155" s="97"/>
      <c r="BR155" s="97"/>
      <c r="BS155" s="97"/>
      <c r="BT155" s="97"/>
      <c r="BU155" s="97"/>
      <c r="BV155" s="97"/>
      <c r="BW155" s="97"/>
      <c r="BX155" s="97"/>
      <c r="BY155" s="97"/>
      <c r="BZ155" s="97"/>
      <c r="CA155" s="97"/>
      <c r="CB155" s="97"/>
      <c r="CC155" s="97"/>
      <c r="CD155" s="97"/>
      <c r="CE155" s="97"/>
      <c r="CF155" s="97"/>
      <c r="CG155" s="97"/>
      <c r="CH155" s="97"/>
      <c r="CI155" s="97"/>
      <c r="CJ155" s="97"/>
      <c r="CK155" s="97"/>
      <c r="CL155" s="97"/>
      <c r="CM155" s="97"/>
      <c r="CN155" s="97"/>
      <c r="CO155" s="97"/>
      <c r="CP155" s="97"/>
      <c r="CQ155" s="97"/>
      <c r="CR155" s="97"/>
      <c r="CS155" s="97"/>
      <c r="CT155" s="97"/>
      <c r="CU155" s="97"/>
      <c r="CV155" s="97"/>
      <c r="CW155" s="97"/>
      <c r="CX155" s="97"/>
      <c r="CY155" s="97"/>
      <c r="CZ155" s="97"/>
      <c r="DA155" s="97"/>
      <c r="DB155" s="97"/>
      <c r="DC155" s="97"/>
      <c r="DD155" s="97"/>
      <c r="DE155" s="97"/>
      <c r="DF155" s="97"/>
      <c r="DG155" s="97"/>
      <c r="DH155" s="97"/>
      <c r="DI155" s="97"/>
      <c r="DJ155" s="97"/>
      <c r="DK155" s="97"/>
      <c r="DL155" s="97"/>
      <c r="DM155" s="97"/>
      <c r="DN155" s="97"/>
      <c r="DO155" s="97"/>
      <c r="DP155" s="97"/>
      <c r="DQ155" s="97"/>
      <c r="DR155" s="97"/>
      <c r="DS155" s="97"/>
      <c r="DT155" s="97"/>
      <c r="DU155" s="97"/>
      <c r="DV155" s="97"/>
      <c r="DW155" s="97"/>
      <c r="DX155" s="97"/>
    </row>
    <row r="156" ht="14.25" customHeight="1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97"/>
      <c r="AH156" s="97"/>
      <c r="AI156" s="97"/>
      <c r="AJ156" s="97"/>
      <c r="AK156" s="97"/>
      <c r="AL156" s="97"/>
      <c r="AM156" s="97"/>
      <c r="AN156" s="97"/>
      <c r="AO156" s="97"/>
      <c r="AP156" s="97"/>
      <c r="AQ156" s="97"/>
      <c r="AR156" s="97"/>
      <c r="AS156" s="97"/>
      <c r="AT156" s="97"/>
      <c r="AU156" s="97"/>
      <c r="AV156" s="97"/>
      <c r="AW156" s="97"/>
      <c r="AX156" s="97"/>
      <c r="AY156" s="97"/>
      <c r="AZ156" s="97"/>
      <c r="BA156" s="97"/>
      <c r="BB156" s="97"/>
      <c r="BC156" s="97"/>
      <c r="BD156" s="97"/>
      <c r="BE156" s="97"/>
      <c r="BF156" s="97"/>
      <c r="BG156" s="97"/>
      <c r="BH156" s="97"/>
      <c r="BI156" s="97"/>
      <c r="BJ156" s="97"/>
      <c r="BK156" s="97"/>
      <c r="BL156" s="97"/>
      <c r="BM156" s="97"/>
      <c r="BN156" s="97"/>
      <c r="BO156" s="97"/>
      <c r="BP156" s="97"/>
      <c r="BQ156" s="97"/>
      <c r="BR156" s="97"/>
      <c r="BS156" s="97"/>
      <c r="BT156" s="97"/>
      <c r="BU156" s="97"/>
      <c r="BV156" s="97"/>
      <c r="BW156" s="97"/>
      <c r="BX156" s="97"/>
      <c r="BY156" s="97"/>
      <c r="BZ156" s="97"/>
      <c r="CA156" s="97"/>
      <c r="CB156" s="97"/>
      <c r="CC156" s="97"/>
      <c r="CD156" s="97"/>
      <c r="CE156" s="97"/>
      <c r="CF156" s="97"/>
      <c r="CG156" s="97"/>
      <c r="CH156" s="97"/>
      <c r="CI156" s="97"/>
      <c r="CJ156" s="97"/>
      <c r="CK156" s="97"/>
      <c r="CL156" s="97"/>
      <c r="CM156" s="97"/>
      <c r="CN156" s="97"/>
      <c r="CO156" s="97"/>
      <c r="CP156" s="97"/>
      <c r="CQ156" s="97"/>
      <c r="CR156" s="97"/>
      <c r="CS156" s="97"/>
      <c r="CT156" s="97"/>
      <c r="CU156" s="97"/>
      <c r="CV156" s="97"/>
      <c r="CW156" s="97"/>
      <c r="CX156" s="97"/>
      <c r="CY156" s="97"/>
      <c r="CZ156" s="97"/>
      <c r="DA156" s="97"/>
      <c r="DB156" s="97"/>
      <c r="DC156" s="97"/>
      <c r="DD156" s="97"/>
      <c r="DE156" s="97"/>
      <c r="DF156" s="97"/>
      <c r="DG156" s="97"/>
      <c r="DH156" s="97"/>
      <c r="DI156" s="97"/>
      <c r="DJ156" s="97"/>
      <c r="DK156" s="97"/>
      <c r="DL156" s="97"/>
      <c r="DM156" s="97"/>
      <c r="DN156" s="97"/>
      <c r="DO156" s="97"/>
      <c r="DP156" s="97"/>
      <c r="DQ156" s="97"/>
      <c r="DR156" s="97"/>
      <c r="DS156" s="97"/>
      <c r="DT156" s="97"/>
      <c r="DU156" s="97"/>
      <c r="DV156" s="97"/>
      <c r="DW156" s="97"/>
      <c r="DX156" s="97"/>
    </row>
    <row r="157" ht="14.25" customHeight="1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97"/>
      <c r="AH157" s="97"/>
      <c r="AI157" s="97"/>
      <c r="AJ157" s="97"/>
      <c r="AK157" s="97"/>
      <c r="AL157" s="97"/>
      <c r="AM157" s="97"/>
      <c r="AN157" s="97"/>
      <c r="AO157" s="97"/>
      <c r="AP157" s="97"/>
      <c r="AQ157" s="97"/>
      <c r="AR157" s="97"/>
      <c r="AS157" s="97"/>
      <c r="AT157" s="97"/>
      <c r="AU157" s="97"/>
      <c r="AV157" s="97"/>
      <c r="AW157" s="97"/>
      <c r="AX157" s="97"/>
      <c r="AY157" s="97"/>
      <c r="AZ157" s="97"/>
      <c r="BA157" s="97"/>
      <c r="BB157" s="97"/>
      <c r="BC157" s="97"/>
      <c r="BD157" s="97"/>
      <c r="BE157" s="97"/>
      <c r="BF157" s="97"/>
      <c r="BG157" s="97"/>
      <c r="BH157" s="97"/>
      <c r="BI157" s="97"/>
      <c r="BJ157" s="97"/>
      <c r="BK157" s="97"/>
      <c r="BL157" s="97"/>
      <c r="BM157" s="97"/>
      <c r="BN157" s="97"/>
      <c r="BO157" s="97"/>
      <c r="BP157" s="97"/>
      <c r="BQ157" s="97"/>
      <c r="BR157" s="97"/>
      <c r="BS157" s="97"/>
      <c r="BT157" s="97"/>
      <c r="BU157" s="97"/>
      <c r="BV157" s="97"/>
      <c r="BW157" s="97"/>
      <c r="BX157" s="97"/>
      <c r="BY157" s="97"/>
      <c r="BZ157" s="97"/>
      <c r="CA157" s="97"/>
      <c r="CB157" s="97"/>
      <c r="CC157" s="97"/>
      <c r="CD157" s="97"/>
      <c r="CE157" s="97"/>
      <c r="CF157" s="97"/>
      <c r="CG157" s="97"/>
      <c r="CH157" s="97"/>
      <c r="CI157" s="97"/>
      <c r="CJ157" s="97"/>
      <c r="CK157" s="97"/>
      <c r="CL157" s="97"/>
      <c r="CM157" s="97"/>
      <c r="CN157" s="97"/>
      <c r="CO157" s="97"/>
      <c r="CP157" s="97"/>
      <c r="CQ157" s="97"/>
      <c r="CR157" s="97"/>
      <c r="CS157" s="97"/>
      <c r="CT157" s="97"/>
      <c r="CU157" s="97"/>
      <c r="CV157" s="97"/>
      <c r="CW157" s="97"/>
      <c r="CX157" s="97"/>
      <c r="CY157" s="97"/>
      <c r="CZ157" s="97"/>
      <c r="DA157" s="97"/>
      <c r="DB157" s="97"/>
      <c r="DC157" s="97"/>
      <c r="DD157" s="97"/>
      <c r="DE157" s="97"/>
      <c r="DF157" s="97"/>
      <c r="DG157" s="97"/>
      <c r="DH157" s="97"/>
      <c r="DI157" s="97"/>
      <c r="DJ157" s="97"/>
      <c r="DK157" s="97"/>
      <c r="DL157" s="97"/>
      <c r="DM157" s="97"/>
      <c r="DN157" s="97"/>
      <c r="DO157" s="97"/>
      <c r="DP157" s="97"/>
      <c r="DQ157" s="97"/>
      <c r="DR157" s="97"/>
      <c r="DS157" s="97"/>
      <c r="DT157" s="97"/>
      <c r="DU157" s="97"/>
      <c r="DV157" s="97"/>
      <c r="DW157" s="97"/>
      <c r="DX157" s="97"/>
    </row>
    <row r="158" ht="14.25" customHeight="1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97"/>
      <c r="AH158" s="97"/>
      <c r="AI158" s="97"/>
      <c r="AJ158" s="97"/>
      <c r="AK158" s="97"/>
      <c r="AL158" s="97"/>
      <c r="AM158" s="97"/>
      <c r="AN158" s="97"/>
      <c r="AO158" s="97"/>
      <c r="AP158" s="97"/>
      <c r="AQ158" s="97"/>
      <c r="AR158" s="97"/>
      <c r="AS158" s="97"/>
      <c r="AT158" s="97"/>
      <c r="AU158" s="97"/>
      <c r="AV158" s="97"/>
      <c r="AW158" s="97"/>
      <c r="AX158" s="97"/>
      <c r="AY158" s="97"/>
      <c r="AZ158" s="97"/>
      <c r="BA158" s="97"/>
      <c r="BB158" s="97"/>
      <c r="BC158" s="97"/>
      <c r="BD158" s="97"/>
      <c r="BE158" s="97"/>
      <c r="BF158" s="97"/>
      <c r="BG158" s="97"/>
      <c r="BH158" s="97"/>
      <c r="BI158" s="97"/>
      <c r="BJ158" s="97"/>
      <c r="BK158" s="97"/>
      <c r="BL158" s="97"/>
      <c r="BM158" s="97"/>
      <c r="BN158" s="97"/>
      <c r="BO158" s="97"/>
      <c r="BP158" s="97"/>
      <c r="BQ158" s="97"/>
      <c r="BR158" s="97"/>
      <c r="BS158" s="97"/>
      <c r="BT158" s="97"/>
      <c r="BU158" s="97"/>
      <c r="BV158" s="97"/>
      <c r="BW158" s="97"/>
      <c r="BX158" s="97"/>
      <c r="BY158" s="97"/>
      <c r="BZ158" s="97"/>
      <c r="CA158" s="97"/>
      <c r="CB158" s="97"/>
      <c r="CC158" s="97"/>
      <c r="CD158" s="97"/>
      <c r="CE158" s="97"/>
      <c r="CF158" s="97"/>
      <c r="CG158" s="97"/>
      <c r="CH158" s="97"/>
      <c r="CI158" s="97"/>
      <c r="CJ158" s="97"/>
      <c r="CK158" s="97"/>
      <c r="CL158" s="97"/>
      <c r="CM158" s="97"/>
      <c r="CN158" s="97"/>
      <c r="CO158" s="97"/>
      <c r="CP158" s="97"/>
      <c r="CQ158" s="97"/>
      <c r="CR158" s="97"/>
      <c r="CS158" s="97"/>
      <c r="CT158" s="97"/>
      <c r="CU158" s="97"/>
      <c r="CV158" s="97"/>
      <c r="CW158" s="97"/>
      <c r="CX158" s="97"/>
      <c r="CY158" s="97"/>
      <c r="CZ158" s="97"/>
      <c r="DA158" s="97"/>
      <c r="DB158" s="97"/>
      <c r="DC158" s="97"/>
      <c r="DD158" s="97"/>
      <c r="DE158" s="97"/>
      <c r="DF158" s="97"/>
      <c r="DG158" s="97"/>
      <c r="DH158" s="97"/>
      <c r="DI158" s="97"/>
      <c r="DJ158" s="97"/>
      <c r="DK158" s="97"/>
      <c r="DL158" s="97"/>
      <c r="DM158" s="97"/>
      <c r="DN158" s="97"/>
      <c r="DO158" s="97"/>
      <c r="DP158" s="97"/>
      <c r="DQ158" s="97"/>
      <c r="DR158" s="97"/>
      <c r="DS158" s="97"/>
      <c r="DT158" s="97"/>
      <c r="DU158" s="97"/>
      <c r="DV158" s="97"/>
      <c r="DW158" s="97"/>
      <c r="DX158" s="97"/>
    </row>
    <row r="159" ht="14.25" customHeight="1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97"/>
      <c r="AH159" s="97"/>
      <c r="AI159" s="97"/>
      <c r="AJ159" s="97"/>
      <c r="AK159" s="97"/>
      <c r="AL159" s="97"/>
      <c r="AM159" s="97"/>
      <c r="AN159" s="97"/>
      <c r="AO159" s="97"/>
      <c r="AP159" s="97"/>
      <c r="AQ159" s="97"/>
      <c r="AR159" s="97"/>
      <c r="AS159" s="97"/>
      <c r="AT159" s="97"/>
      <c r="AU159" s="97"/>
      <c r="AV159" s="97"/>
      <c r="AW159" s="97"/>
      <c r="AX159" s="97"/>
      <c r="AY159" s="97"/>
      <c r="AZ159" s="97"/>
      <c r="BA159" s="97"/>
      <c r="BB159" s="97"/>
      <c r="BC159" s="97"/>
      <c r="BD159" s="97"/>
      <c r="BE159" s="97"/>
      <c r="BF159" s="97"/>
      <c r="BG159" s="97"/>
      <c r="BH159" s="97"/>
      <c r="BI159" s="97"/>
      <c r="BJ159" s="97"/>
      <c r="BK159" s="97"/>
      <c r="BL159" s="97"/>
      <c r="BM159" s="97"/>
      <c r="BN159" s="97"/>
      <c r="BO159" s="97"/>
      <c r="BP159" s="97"/>
      <c r="BQ159" s="97"/>
      <c r="BR159" s="97"/>
      <c r="BS159" s="97"/>
      <c r="BT159" s="97"/>
      <c r="BU159" s="97"/>
      <c r="BV159" s="97"/>
      <c r="BW159" s="97"/>
      <c r="BX159" s="97"/>
      <c r="BY159" s="97"/>
      <c r="BZ159" s="97"/>
      <c r="CA159" s="97"/>
      <c r="CB159" s="97"/>
      <c r="CC159" s="97"/>
      <c r="CD159" s="97"/>
      <c r="CE159" s="97"/>
      <c r="CF159" s="97"/>
      <c r="CG159" s="97"/>
      <c r="CH159" s="97"/>
      <c r="CI159" s="97"/>
      <c r="CJ159" s="97"/>
      <c r="CK159" s="97"/>
      <c r="CL159" s="97"/>
      <c r="CM159" s="97"/>
      <c r="CN159" s="97"/>
      <c r="CO159" s="97"/>
      <c r="CP159" s="97"/>
      <c r="CQ159" s="97"/>
      <c r="CR159" s="97"/>
      <c r="CS159" s="97"/>
      <c r="CT159" s="97"/>
      <c r="CU159" s="97"/>
      <c r="CV159" s="97"/>
      <c r="CW159" s="97"/>
      <c r="CX159" s="97"/>
      <c r="CY159" s="97"/>
      <c r="CZ159" s="97"/>
      <c r="DA159" s="97"/>
      <c r="DB159" s="97"/>
      <c r="DC159" s="97"/>
      <c r="DD159" s="97"/>
      <c r="DE159" s="97"/>
      <c r="DF159" s="97"/>
      <c r="DG159" s="97"/>
      <c r="DH159" s="97"/>
      <c r="DI159" s="97"/>
      <c r="DJ159" s="97"/>
      <c r="DK159" s="97"/>
      <c r="DL159" s="97"/>
      <c r="DM159" s="97"/>
      <c r="DN159" s="97"/>
      <c r="DO159" s="97"/>
      <c r="DP159" s="97"/>
      <c r="DQ159" s="97"/>
      <c r="DR159" s="97"/>
      <c r="DS159" s="97"/>
      <c r="DT159" s="97"/>
      <c r="DU159" s="97"/>
      <c r="DV159" s="97"/>
      <c r="DW159" s="97"/>
      <c r="DX159" s="97"/>
    </row>
    <row r="160" ht="14.25" customHeight="1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97"/>
      <c r="AH160" s="97"/>
      <c r="AI160" s="97"/>
      <c r="AJ160" s="97"/>
      <c r="AK160" s="97"/>
      <c r="AL160" s="97"/>
      <c r="AM160" s="97"/>
      <c r="AN160" s="97"/>
      <c r="AO160" s="97"/>
      <c r="AP160" s="97"/>
      <c r="AQ160" s="97"/>
      <c r="AR160" s="97"/>
      <c r="AS160" s="97"/>
      <c r="AT160" s="97"/>
      <c r="AU160" s="97"/>
      <c r="AV160" s="97"/>
      <c r="AW160" s="97"/>
      <c r="AX160" s="97"/>
      <c r="AY160" s="97"/>
      <c r="AZ160" s="97"/>
      <c r="BA160" s="97"/>
      <c r="BB160" s="97"/>
      <c r="BC160" s="97"/>
      <c r="BD160" s="97"/>
      <c r="BE160" s="97"/>
      <c r="BF160" s="97"/>
      <c r="BG160" s="97"/>
      <c r="BH160" s="97"/>
      <c r="BI160" s="97"/>
      <c r="BJ160" s="97"/>
      <c r="BK160" s="97"/>
      <c r="BL160" s="97"/>
      <c r="BM160" s="97"/>
      <c r="BN160" s="97"/>
      <c r="BO160" s="97"/>
      <c r="BP160" s="97"/>
      <c r="BQ160" s="97"/>
      <c r="BR160" s="97"/>
      <c r="BS160" s="97"/>
      <c r="BT160" s="97"/>
      <c r="BU160" s="97"/>
      <c r="BV160" s="97"/>
      <c r="BW160" s="97"/>
      <c r="BX160" s="97"/>
      <c r="BY160" s="97"/>
      <c r="BZ160" s="97"/>
      <c r="CA160" s="97"/>
      <c r="CB160" s="97"/>
      <c r="CC160" s="97"/>
      <c r="CD160" s="97"/>
      <c r="CE160" s="97"/>
      <c r="CF160" s="97"/>
      <c r="CG160" s="97"/>
      <c r="CH160" s="97"/>
      <c r="CI160" s="97"/>
      <c r="CJ160" s="97"/>
      <c r="CK160" s="97"/>
      <c r="CL160" s="97"/>
      <c r="CM160" s="97"/>
      <c r="CN160" s="97"/>
      <c r="CO160" s="97"/>
      <c r="CP160" s="97"/>
      <c r="CQ160" s="97"/>
      <c r="CR160" s="97"/>
      <c r="CS160" s="97"/>
      <c r="CT160" s="97"/>
      <c r="CU160" s="97"/>
      <c r="CV160" s="97"/>
      <c r="CW160" s="97"/>
      <c r="CX160" s="97"/>
      <c r="CY160" s="97"/>
      <c r="CZ160" s="97"/>
      <c r="DA160" s="97"/>
      <c r="DB160" s="97"/>
      <c r="DC160" s="97"/>
      <c r="DD160" s="97"/>
      <c r="DE160" s="97"/>
      <c r="DF160" s="97"/>
      <c r="DG160" s="97"/>
      <c r="DH160" s="97"/>
      <c r="DI160" s="97"/>
      <c r="DJ160" s="97"/>
      <c r="DK160" s="97"/>
      <c r="DL160" s="97"/>
      <c r="DM160" s="97"/>
      <c r="DN160" s="97"/>
      <c r="DO160" s="97"/>
      <c r="DP160" s="97"/>
      <c r="DQ160" s="97"/>
      <c r="DR160" s="97"/>
      <c r="DS160" s="97"/>
      <c r="DT160" s="97"/>
      <c r="DU160" s="97"/>
      <c r="DV160" s="97"/>
      <c r="DW160" s="97"/>
      <c r="DX160" s="97"/>
    </row>
    <row r="161" ht="14.25" customHeight="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97"/>
      <c r="AO161" s="97"/>
      <c r="AP161" s="97"/>
      <c r="AQ161" s="97"/>
      <c r="AR161" s="97"/>
      <c r="AS161" s="97"/>
      <c r="AT161" s="97"/>
      <c r="AU161" s="97"/>
      <c r="AV161" s="97"/>
      <c r="AW161" s="97"/>
      <c r="AX161" s="97"/>
      <c r="AY161" s="97"/>
      <c r="AZ161" s="97"/>
      <c r="BA161" s="97"/>
      <c r="BB161" s="97"/>
      <c r="BC161" s="97"/>
      <c r="BD161" s="97"/>
      <c r="BE161" s="97"/>
      <c r="BF161" s="97"/>
      <c r="BG161" s="97"/>
      <c r="BH161" s="97"/>
      <c r="BI161" s="97"/>
      <c r="BJ161" s="97"/>
      <c r="BK161" s="97"/>
      <c r="BL161" s="97"/>
      <c r="BM161" s="97"/>
      <c r="BN161" s="97"/>
      <c r="BO161" s="97"/>
      <c r="BP161" s="97"/>
      <c r="BQ161" s="97"/>
      <c r="BR161" s="97"/>
      <c r="BS161" s="97"/>
      <c r="BT161" s="97"/>
      <c r="BU161" s="97"/>
      <c r="BV161" s="97"/>
      <c r="BW161" s="97"/>
      <c r="BX161" s="97"/>
      <c r="BY161" s="97"/>
      <c r="BZ161" s="97"/>
      <c r="CA161" s="97"/>
      <c r="CB161" s="97"/>
      <c r="CC161" s="97"/>
      <c r="CD161" s="97"/>
      <c r="CE161" s="97"/>
      <c r="CF161" s="97"/>
      <c r="CG161" s="97"/>
      <c r="CH161" s="97"/>
      <c r="CI161" s="97"/>
      <c r="CJ161" s="97"/>
      <c r="CK161" s="97"/>
      <c r="CL161" s="97"/>
      <c r="CM161" s="97"/>
      <c r="CN161" s="97"/>
      <c r="CO161" s="97"/>
      <c r="CP161" s="97"/>
      <c r="CQ161" s="97"/>
      <c r="CR161" s="97"/>
      <c r="CS161" s="97"/>
      <c r="CT161" s="97"/>
      <c r="CU161" s="97"/>
      <c r="CV161" s="97"/>
      <c r="CW161" s="97"/>
      <c r="CX161" s="97"/>
      <c r="CY161" s="97"/>
      <c r="CZ161" s="97"/>
      <c r="DA161" s="97"/>
      <c r="DB161" s="97"/>
      <c r="DC161" s="97"/>
      <c r="DD161" s="97"/>
      <c r="DE161" s="97"/>
      <c r="DF161" s="97"/>
      <c r="DG161" s="97"/>
      <c r="DH161" s="97"/>
      <c r="DI161" s="97"/>
      <c r="DJ161" s="97"/>
      <c r="DK161" s="97"/>
      <c r="DL161" s="97"/>
      <c r="DM161" s="97"/>
      <c r="DN161" s="97"/>
      <c r="DO161" s="97"/>
      <c r="DP161" s="97"/>
      <c r="DQ161" s="97"/>
      <c r="DR161" s="97"/>
      <c r="DS161" s="97"/>
      <c r="DT161" s="97"/>
      <c r="DU161" s="97"/>
      <c r="DV161" s="97"/>
      <c r="DW161" s="97"/>
      <c r="DX161" s="97"/>
    </row>
    <row r="162" ht="14.25" customHeight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97"/>
      <c r="AH162" s="97"/>
      <c r="AI162" s="97"/>
      <c r="AJ162" s="97"/>
      <c r="AK162" s="97"/>
      <c r="AL162" s="97"/>
      <c r="AM162" s="97"/>
      <c r="AN162" s="97"/>
      <c r="AO162" s="97"/>
      <c r="AP162" s="97"/>
      <c r="AQ162" s="97"/>
      <c r="AR162" s="97"/>
      <c r="AS162" s="97"/>
      <c r="AT162" s="97"/>
      <c r="AU162" s="97"/>
      <c r="AV162" s="97"/>
      <c r="AW162" s="97"/>
      <c r="AX162" s="97"/>
      <c r="AY162" s="97"/>
      <c r="AZ162" s="97"/>
      <c r="BA162" s="97"/>
      <c r="BB162" s="97"/>
      <c r="BC162" s="97"/>
      <c r="BD162" s="97"/>
      <c r="BE162" s="97"/>
      <c r="BF162" s="97"/>
      <c r="BG162" s="97"/>
      <c r="BH162" s="97"/>
      <c r="BI162" s="97"/>
      <c r="BJ162" s="97"/>
      <c r="BK162" s="97"/>
      <c r="BL162" s="97"/>
      <c r="BM162" s="97"/>
      <c r="BN162" s="97"/>
      <c r="BO162" s="97"/>
      <c r="BP162" s="97"/>
      <c r="BQ162" s="97"/>
      <c r="BR162" s="97"/>
      <c r="BS162" s="97"/>
      <c r="BT162" s="97"/>
      <c r="BU162" s="97"/>
      <c r="BV162" s="97"/>
      <c r="BW162" s="97"/>
      <c r="BX162" s="97"/>
      <c r="BY162" s="97"/>
      <c r="BZ162" s="97"/>
      <c r="CA162" s="97"/>
      <c r="CB162" s="97"/>
      <c r="CC162" s="97"/>
      <c r="CD162" s="97"/>
      <c r="CE162" s="97"/>
      <c r="CF162" s="97"/>
      <c r="CG162" s="97"/>
      <c r="CH162" s="97"/>
      <c r="CI162" s="97"/>
      <c r="CJ162" s="97"/>
      <c r="CK162" s="97"/>
      <c r="CL162" s="97"/>
      <c r="CM162" s="97"/>
      <c r="CN162" s="97"/>
      <c r="CO162" s="97"/>
      <c r="CP162" s="97"/>
      <c r="CQ162" s="97"/>
      <c r="CR162" s="97"/>
      <c r="CS162" s="97"/>
      <c r="CT162" s="97"/>
      <c r="CU162" s="97"/>
      <c r="CV162" s="97"/>
      <c r="CW162" s="97"/>
      <c r="CX162" s="97"/>
      <c r="CY162" s="97"/>
      <c r="CZ162" s="97"/>
      <c r="DA162" s="97"/>
      <c r="DB162" s="97"/>
      <c r="DC162" s="97"/>
      <c r="DD162" s="97"/>
      <c r="DE162" s="97"/>
      <c r="DF162" s="97"/>
      <c r="DG162" s="97"/>
      <c r="DH162" s="97"/>
      <c r="DI162" s="97"/>
      <c r="DJ162" s="97"/>
      <c r="DK162" s="97"/>
      <c r="DL162" s="97"/>
      <c r="DM162" s="97"/>
      <c r="DN162" s="97"/>
      <c r="DO162" s="97"/>
      <c r="DP162" s="97"/>
      <c r="DQ162" s="97"/>
      <c r="DR162" s="97"/>
      <c r="DS162" s="97"/>
      <c r="DT162" s="97"/>
      <c r="DU162" s="97"/>
      <c r="DV162" s="97"/>
      <c r="DW162" s="97"/>
      <c r="DX162" s="97"/>
    </row>
    <row r="163" ht="14.25" customHeight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97"/>
      <c r="AH163" s="97"/>
      <c r="AI163" s="97"/>
      <c r="AJ163" s="97"/>
      <c r="AK163" s="97"/>
      <c r="AL163" s="97"/>
      <c r="AM163" s="97"/>
      <c r="AN163" s="97"/>
      <c r="AO163" s="97"/>
      <c r="AP163" s="97"/>
      <c r="AQ163" s="97"/>
      <c r="AR163" s="97"/>
      <c r="AS163" s="97"/>
      <c r="AT163" s="97"/>
      <c r="AU163" s="97"/>
      <c r="AV163" s="97"/>
      <c r="AW163" s="97"/>
      <c r="AX163" s="97"/>
      <c r="AY163" s="97"/>
      <c r="AZ163" s="97"/>
      <c r="BA163" s="97"/>
      <c r="BB163" s="97"/>
      <c r="BC163" s="97"/>
      <c r="BD163" s="97"/>
      <c r="BE163" s="97"/>
      <c r="BF163" s="97"/>
      <c r="BG163" s="97"/>
      <c r="BH163" s="97"/>
      <c r="BI163" s="97"/>
      <c r="BJ163" s="97"/>
      <c r="BK163" s="97"/>
      <c r="BL163" s="97"/>
      <c r="BM163" s="97"/>
      <c r="BN163" s="97"/>
      <c r="BO163" s="97"/>
      <c r="BP163" s="97"/>
      <c r="BQ163" s="97"/>
      <c r="BR163" s="97"/>
      <c r="BS163" s="97"/>
      <c r="BT163" s="97"/>
      <c r="BU163" s="97"/>
      <c r="BV163" s="97"/>
      <c r="BW163" s="97"/>
      <c r="BX163" s="97"/>
      <c r="BY163" s="97"/>
      <c r="BZ163" s="97"/>
      <c r="CA163" s="97"/>
      <c r="CB163" s="97"/>
      <c r="CC163" s="97"/>
      <c r="CD163" s="97"/>
      <c r="CE163" s="97"/>
      <c r="CF163" s="97"/>
      <c r="CG163" s="97"/>
      <c r="CH163" s="97"/>
      <c r="CI163" s="97"/>
      <c r="CJ163" s="97"/>
      <c r="CK163" s="97"/>
      <c r="CL163" s="97"/>
      <c r="CM163" s="97"/>
      <c r="CN163" s="97"/>
      <c r="CO163" s="97"/>
      <c r="CP163" s="97"/>
      <c r="CQ163" s="97"/>
      <c r="CR163" s="97"/>
      <c r="CS163" s="97"/>
      <c r="CT163" s="97"/>
      <c r="CU163" s="97"/>
      <c r="CV163" s="97"/>
      <c r="CW163" s="97"/>
      <c r="CX163" s="97"/>
      <c r="CY163" s="97"/>
      <c r="CZ163" s="97"/>
      <c r="DA163" s="97"/>
      <c r="DB163" s="97"/>
      <c r="DC163" s="97"/>
      <c r="DD163" s="97"/>
      <c r="DE163" s="97"/>
      <c r="DF163" s="97"/>
      <c r="DG163" s="97"/>
      <c r="DH163" s="97"/>
      <c r="DI163" s="97"/>
      <c r="DJ163" s="97"/>
      <c r="DK163" s="97"/>
      <c r="DL163" s="97"/>
      <c r="DM163" s="97"/>
      <c r="DN163" s="97"/>
      <c r="DO163" s="97"/>
      <c r="DP163" s="97"/>
      <c r="DQ163" s="97"/>
      <c r="DR163" s="97"/>
      <c r="DS163" s="97"/>
      <c r="DT163" s="97"/>
      <c r="DU163" s="97"/>
      <c r="DV163" s="97"/>
      <c r="DW163" s="97"/>
      <c r="DX163" s="97"/>
    </row>
    <row r="164" ht="14.25" customHeight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97"/>
      <c r="AH164" s="97"/>
      <c r="AI164" s="97"/>
      <c r="AJ164" s="97"/>
      <c r="AK164" s="97"/>
      <c r="AL164" s="97"/>
      <c r="AM164" s="97"/>
      <c r="AN164" s="97"/>
      <c r="AO164" s="97"/>
      <c r="AP164" s="97"/>
      <c r="AQ164" s="97"/>
      <c r="AR164" s="97"/>
      <c r="AS164" s="97"/>
      <c r="AT164" s="97"/>
      <c r="AU164" s="97"/>
      <c r="AV164" s="97"/>
      <c r="AW164" s="97"/>
      <c r="AX164" s="97"/>
      <c r="AY164" s="97"/>
      <c r="AZ164" s="97"/>
      <c r="BA164" s="97"/>
      <c r="BB164" s="97"/>
      <c r="BC164" s="97"/>
      <c r="BD164" s="97"/>
      <c r="BE164" s="97"/>
      <c r="BF164" s="97"/>
      <c r="BG164" s="97"/>
      <c r="BH164" s="97"/>
      <c r="BI164" s="97"/>
      <c r="BJ164" s="97"/>
      <c r="BK164" s="97"/>
      <c r="BL164" s="97"/>
      <c r="BM164" s="97"/>
      <c r="BN164" s="97"/>
      <c r="BO164" s="97"/>
      <c r="BP164" s="97"/>
      <c r="BQ164" s="97"/>
      <c r="BR164" s="97"/>
      <c r="BS164" s="97"/>
      <c r="BT164" s="97"/>
      <c r="BU164" s="97"/>
      <c r="BV164" s="97"/>
      <c r="BW164" s="97"/>
      <c r="BX164" s="97"/>
      <c r="BY164" s="97"/>
      <c r="BZ164" s="97"/>
      <c r="CA164" s="97"/>
      <c r="CB164" s="97"/>
      <c r="CC164" s="97"/>
      <c r="CD164" s="97"/>
      <c r="CE164" s="97"/>
      <c r="CF164" s="97"/>
      <c r="CG164" s="97"/>
      <c r="CH164" s="97"/>
      <c r="CI164" s="97"/>
      <c r="CJ164" s="97"/>
      <c r="CK164" s="97"/>
      <c r="CL164" s="97"/>
      <c r="CM164" s="97"/>
      <c r="CN164" s="97"/>
      <c r="CO164" s="97"/>
      <c r="CP164" s="97"/>
      <c r="CQ164" s="97"/>
      <c r="CR164" s="97"/>
      <c r="CS164" s="97"/>
      <c r="CT164" s="97"/>
      <c r="CU164" s="97"/>
      <c r="CV164" s="97"/>
      <c r="CW164" s="97"/>
      <c r="CX164" s="97"/>
      <c r="CY164" s="97"/>
      <c r="CZ164" s="97"/>
      <c r="DA164" s="97"/>
      <c r="DB164" s="97"/>
      <c r="DC164" s="97"/>
      <c r="DD164" s="97"/>
      <c r="DE164" s="97"/>
      <c r="DF164" s="97"/>
      <c r="DG164" s="97"/>
      <c r="DH164" s="97"/>
      <c r="DI164" s="97"/>
      <c r="DJ164" s="97"/>
      <c r="DK164" s="97"/>
      <c r="DL164" s="97"/>
      <c r="DM164" s="97"/>
      <c r="DN164" s="97"/>
      <c r="DO164" s="97"/>
      <c r="DP164" s="97"/>
      <c r="DQ164" s="97"/>
      <c r="DR164" s="97"/>
      <c r="DS164" s="97"/>
      <c r="DT164" s="97"/>
      <c r="DU164" s="97"/>
      <c r="DV164" s="97"/>
      <c r="DW164" s="97"/>
      <c r="DX164" s="97"/>
    </row>
    <row r="165" ht="14.25" customHeight="1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97"/>
      <c r="AH165" s="97"/>
      <c r="AI165" s="97"/>
      <c r="AJ165" s="97"/>
      <c r="AK165" s="97"/>
      <c r="AL165" s="97"/>
      <c r="AM165" s="97"/>
      <c r="AN165" s="97"/>
      <c r="AO165" s="97"/>
      <c r="AP165" s="97"/>
      <c r="AQ165" s="97"/>
      <c r="AR165" s="97"/>
      <c r="AS165" s="97"/>
      <c r="AT165" s="97"/>
      <c r="AU165" s="97"/>
      <c r="AV165" s="97"/>
      <c r="AW165" s="97"/>
      <c r="AX165" s="97"/>
      <c r="AY165" s="97"/>
      <c r="AZ165" s="97"/>
      <c r="BA165" s="97"/>
      <c r="BB165" s="97"/>
      <c r="BC165" s="97"/>
      <c r="BD165" s="97"/>
      <c r="BE165" s="97"/>
      <c r="BF165" s="97"/>
      <c r="BG165" s="97"/>
      <c r="BH165" s="97"/>
      <c r="BI165" s="97"/>
      <c r="BJ165" s="97"/>
      <c r="BK165" s="97"/>
      <c r="BL165" s="97"/>
      <c r="BM165" s="97"/>
      <c r="BN165" s="97"/>
      <c r="BO165" s="97"/>
      <c r="BP165" s="97"/>
      <c r="BQ165" s="97"/>
      <c r="BR165" s="97"/>
      <c r="BS165" s="97"/>
      <c r="BT165" s="97"/>
      <c r="BU165" s="97"/>
      <c r="BV165" s="97"/>
      <c r="BW165" s="97"/>
      <c r="BX165" s="97"/>
      <c r="BY165" s="97"/>
      <c r="BZ165" s="97"/>
      <c r="CA165" s="97"/>
      <c r="CB165" s="97"/>
      <c r="CC165" s="97"/>
      <c r="CD165" s="97"/>
      <c r="CE165" s="97"/>
      <c r="CF165" s="97"/>
      <c r="CG165" s="97"/>
      <c r="CH165" s="97"/>
      <c r="CI165" s="97"/>
      <c r="CJ165" s="97"/>
      <c r="CK165" s="97"/>
      <c r="CL165" s="97"/>
      <c r="CM165" s="97"/>
      <c r="CN165" s="97"/>
      <c r="CO165" s="97"/>
      <c r="CP165" s="97"/>
      <c r="CQ165" s="97"/>
      <c r="CR165" s="97"/>
      <c r="CS165" s="97"/>
      <c r="CT165" s="97"/>
      <c r="CU165" s="97"/>
      <c r="CV165" s="97"/>
      <c r="CW165" s="97"/>
      <c r="CX165" s="97"/>
      <c r="CY165" s="97"/>
      <c r="CZ165" s="97"/>
      <c r="DA165" s="97"/>
      <c r="DB165" s="97"/>
      <c r="DC165" s="97"/>
      <c r="DD165" s="97"/>
      <c r="DE165" s="97"/>
      <c r="DF165" s="97"/>
      <c r="DG165" s="97"/>
      <c r="DH165" s="97"/>
      <c r="DI165" s="97"/>
      <c r="DJ165" s="97"/>
      <c r="DK165" s="97"/>
      <c r="DL165" s="97"/>
      <c r="DM165" s="97"/>
      <c r="DN165" s="97"/>
      <c r="DO165" s="97"/>
      <c r="DP165" s="97"/>
      <c r="DQ165" s="97"/>
      <c r="DR165" s="97"/>
      <c r="DS165" s="97"/>
      <c r="DT165" s="97"/>
      <c r="DU165" s="97"/>
      <c r="DV165" s="97"/>
      <c r="DW165" s="97"/>
      <c r="DX165" s="97"/>
    </row>
    <row r="166" ht="14.25" customHeight="1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97"/>
      <c r="AH166" s="97"/>
      <c r="AI166" s="97"/>
      <c r="AJ166" s="97"/>
      <c r="AK166" s="97"/>
      <c r="AL166" s="97"/>
      <c r="AM166" s="97"/>
      <c r="AN166" s="97"/>
      <c r="AO166" s="97"/>
      <c r="AP166" s="97"/>
      <c r="AQ166" s="97"/>
      <c r="AR166" s="97"/>
      <c r="AS166" s="97"/>
      <c r="AT166" s="97"/>
      <c r="AU166" s="97"/>
      <c r="AV166" s="97"/>
      <c r="AW166" s="97"/>
      <c r="AX166" s="97"/>
      <c r="AY166" s="97"/>
      <c r="AZ166" s="97"/>
      <c r="BA166" s="97"/>
      <c r="BB166" s="97"/>
      <c r="BC166" s="97"/>
      <c r="BD166" s="97"/>
      <c r="BE166" s="97"/>
      <c r="BF166" s="97"/>
      <c r="BG166" s="97"/>
      <c r="BH166" s="97"/>
      <c r="BI166" s="97"/>
      <c r="BJ166" s="97"/>
      <c r="BK166" s="97"/>
      <c r="BL166" s="97"/>
      <c r="BM166" s="97"/>
      <c r="BN166" s="97"/>
      <c r="BO166" s="97"/>
      <c r="BP166" s="97"/>
      <c r="BQ166" s="97"/>
      <c r="BR166" s="97"/>
      <c r="BS166" s="97"/>
      <c r="BT166" s="97"/>
      <c r="BU166" s="97"/>
      <c r="BV166" s="97"/>
      <c r="BW166" s="97"/>
      <c r="BX166" s="97"/>
      <c r="BY166" s="97"/>
      <c r="BZ166" s="97"/>
      <c r="CA166" s="97"/>
      <c r="CB166" s="97"/>
      <c r="CC166" s="97"/>
      <c r="CD166" s="97"/>
      <c r="CE166" s="97"/>
      <c r="CF166" s="97"/>
      <c r="CG166" s="97"/>
      <c r="CH166" s="97"/>
      <c r="CI166" s="97"/>
      <c r="CJ166" s="97"/>
      <c r="CK166" s="97"/>
      <c r="CL166" s="97"/>
      <c r="CM166" s="97"/>
      <c r="CN166" s="97"/>
      <c r="CO166" s="97"/>
      <c r="CP166" s="97"/>
      <c r="CQ166" s="97"/>
      <c r="CR166" s="97"/>
      <c r="CS166" s="97"/>
      <c r="CT166" s="97"/>
      <c r="CU166" s="97"/>
      <c r="CV166" s="97"/>
      <c r="CW166" s="97"/>
      <c r="CX166" s="97"/>
      <c r="CY166" s="97"/>
      <c r="CZ166" s="97"/>
      <c r="DA166" s="97"/>
      <c r="DB166" s="97"/>
      <c r="DC166" s="97"/>
      <c r="DD166" s="97"/>
      <c r="DE166" s="97"/>
      <c r="DF166" s="97"/>
      <c r="DG166" s="97"/>
      <c r="DH166" s="97"/>
      <c r="DI166" s="97"/>
      <c r="DJ166" s="97"/>
      <c r="DK166" s="97"/>
      <c r="DL166" s="97"/>
      <c r="DM166" s="97"/>
      <c r="DN166" s="97"/>
      <c r="DO166" s="97"/>
      <c r="DP166" s="97"/>
      <c r="DQ166" s="97"/>
      <c r="DR166" s="97"/>
      <c r="DS166" s="97"/>
      <c r="DT166" s="97"/>
      <c r="DU166" s="97"/>
      <c r="DV166" s="97"/>
      <c r="DW166" s="97"/>
      <c r="DX166" s="97"/>
    </row>
    <row r="167" ht="14.25" customHeight="1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97"/>
      <c r="AH167" s="97"/>
      <c r="AI167" s="97"/>
      <c r="AJ167" s="97"/>
      <c r="AK167" s="97"/>
      <c r="AL167" s="97"/>
      <c r="AM167" s="97"/>
      <c r="AN167" s="97"/>
      <c r="AO167" s="97"/>
      <c r="AP167" s="97"/>
      <c r="AQ167" s="97"/>
      <c r="AR167" s="97"/>
      <c r="AS167" s="97"/>
      <c r="AT167" s="97"/>
      <c r="AU167" s="97"/>
      <c r="AV167" s="97"/>
      <c r="AW167" s="97"/>
      <c r="AX167" s="97"/>
      <c r="AY167" s="97"/>
      <c r="AZ167" s="97"/>
      <c r="BA167" s="97"/>
      <c r="BB167" s="97"/>
      <c r="BC167" s="97"/>
      <c r="BD167" s="97"/>
      <c r="BE167" s="97"/>
      <c r="BF167" s="97"/>
      <c r="BG167" s="97"/>
      <c r="BH167" s="97"/>
      <c r="BI167" s="97"/>
      <c r="BJ167" s="97"/>
      <c r="BK167" s="97"/>
      <c r="BL167" s="97"/>
      <c r="BM167" s="97"/>
      <c r="BN167" s="97"/>
      <c r="BO167" s="97"/>
      <c r="BP167" s="97"/>
      <c r="BQ167" s="97"/>
      <c r="BR167" s="97"/>
      <c r="BS167" s="97"/>
      <c r="BT167" s="97"/>
      <c r="BU167" s="97"/>
      <c r="BV167" s="97"/>
      <c r="BW167" s="97"/>
      <c r="BX167" s="97"/>
      <c r="BY167" s="97"/>
      <c r="BZ167" s="97"/>
      <c r="CA167" s="97"/>
      <c r="CB167" s="97"/>
      <c r="CC167" s="97"/>
      <c r="CD167" s="97"/>
      <c r="CE167" s="97"/>
      <c r="CF167" s="97"/>
      <c r="CG167" s="97"/>
      <c r="CH167" s="97"/>
      <c r="CI167" s="97"/>
      <c r="CJ167" s="97"/>
      <c r="CK167" s="97"/>
      <c r="CL167" s="97"/>
      <c r="CM167" s="97"/>
      <c r="CN167" s="97"/>
      <c r="CO167" s="97"/>
      <c r="CP167" s="97"/>
      <c r="CQ167" s="97"/>
      <c r="CR167" s="97"/>
      <c r="CS167" s="97"/>
      <c r="CT167" s="97"/>
      <c r="CU167" s="97"/>
      <c r="CV167" s="97"/>
      <c r="CW167" s="97"/>
      <c r="CX167" s="97"/>
      <c r="CY167" s="97"/>
      <c r="CZ167" s="97"/>
      <c r="DA167" s="97"/>
      <c r="DB167" s="97"/>
      <c r="DC167" s="97"/>
      <c r="DD167" s="97"/>
      <c r="DE167" s="97"/>
      <c r="DF167" s="97"/>
      <c r="DG167" s="97"/>
      <c r="DH167" s="97"/>
      <c r="DI167" s="97"/>
      <c r="DJ167" s="97"/>
      <c r="DK167" s="97"/>
      <c r="DL167" s="97"/>
      <c r="DM167" s="97"/>
      <c r="DN167" s="97"/>
      <c r="DO167" s="97"/>
      <c r="DP167" s="97"/>
      <c r="DQ167" s="97"/>
      <c r="DR167" s="97"/>
      <c r="DS167" s="97"/>
      <c r="DT167" s="97"/>
      <c r="DU167" s="97"/>
      <c r="DV167" s="97"/>
      <c r="DW167" s="97"/>
      <c r="DX167" s="97"/>
    </row>
    <row r="168" ht="14.25" customHeight="1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97"/>
      <c r="AH168" s="97"/>
      <c r="AI168" s="97"/>
      <c r="AJ168" s="97"/>
      <c r="AK168" s="97"/>
      <c r="AL168" s="97"/>
      <c r="AM168" s="97"/>
      <c r="AN168" s="97"/>
      <c r="AO168" s="97"/>
      <c r="AP168" s="97"/>
      <c r="AQ168" s="97"/>
      <c r="AR168" s="97"/>
      <c r="AS168" s="97"/>
      <c r="AT168" s="97"/>
      <c r="AU168" s="97"/>
      <c r="AV168" s="97"/>
      <c r="AW168" s="97"/>
      <c r="AX168" s="97"/>
      <c r="AY168" s="97"/>
      <c r="AZ168" s="97"/>
      <c r="BA168" s="97"/>
      <c r="BB168" s="97"/>
      <c r="BC168" s="97"/>
      <c r="BD168" s="97"/>
      <c r="BE168" s="97"/>
      <c r="BF168" s="97"/>
      <c r="BG168" s="97"/>
      <c r="BH168" s="97"/>
      <c r="BI168" s="97"/>
      <c r="BJ168" s="97"/>
      <c r="BK168" s="97"/>
      <c r="BL168" s="97"/>
      <c r="BM168" s="97"/>
      <c r="BN168" s="97"/>
      <c r="BO168" s="97"/>
      <c r="BP168" s="97"/>
      <c r="BQ168" s="97"/>
      <c r="BR168" s="97"/>
      <c r="BS168" s="97"/>
      <c r="BT168" s="97"/>
      <c r="BU168" s="97"/>
      <c r="BV168" s="97"/>
      <c r="BW168" s="97"/>
      <c r="BX168" s="97"/>
      <c r="BY168" s="97"/>
      <c r="BZ168" s="97"/>
      <c r="CA168" s="97"/>
      <c r="CB168" s="97"/>
      <c r="CC168" s="97"/>
      <c r="CD168" s="97"/>
      <c r="CE168" s="97"/>
      <c r="CF168" s="97"/>
      <c r="CG168" s="97"/>
      <c r="CH168" s="97"/>
      <c r="CI168" s="97"/>
      <c r="CJ168" s="97"/>
      <c r="CK168" s="97"/>
      <c r="CL168" s="97"/>
      <c r="CM168" s="97"/>
      <c r="CN168" s="97"/>
      <c r="CO168" s="97"/>
      <c r="CP168" s="97"/>
      <c r="CQ168" s="97"/>
      <c r="CR168" s="97"/>
      <c r="CS168" s="97"/>
      <c r="CT168" s="97"/>
      <c r="CU168" s="97"/>
      <c r="CV168" s="97"/>
      <c r="CW168" s="97"/>
      <c r="CX168" s="97"/>
      <c r="CY168" s="97"/>
      <c r="CZ168" s="97"/>
      <c r="DA168" s="97"/>
      <c r="DB168" s="97"/>
      <c r="DC168" s="97"/>
      <c r="DD168" s="97"/>
      <c r="DE168" s="97"/>
      <c r="DF168" s="97"/>
      <c r="DG168" s="97"/>
      <c r="DH168" s="97"/>
      <c r="DI168" s="97"/>
      <c r="DJ168" s="97"/>
      <c r="DK168" s="97"/>
      <c r="DL168" s="97"/>
      <c r="DM168" s="97"/>
      <c r="DN168" s="97"/>
      <c r="DO168" s="97"/>
      <c r="DP168" s="97"/>
      <c r="DQ168" s="97"/>
      <c r="DR168" s="97"/>
      <c r="DS168" s="97"/>
      <c r="DT168" s="97"/>
      <c r="DU168" s="97"/>
      <c r="DV168" s="97"/>
      <c r="DW168" s="97"/>
      <c r="DX168" s="97"/>
    </row>
    <row r="169" ht="14.25" customHeight="1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97"/>
      <c r="AH169" s="97"/>
      <c r="AI169" s="97"/>
      <c r="AJ169" s="97"/>
      <c r="AK169" s="97"/>
      <c r="AL169" s="97"/>
      <c r="AM169" s="97"/>
      <c r="AN169" s="97"/>
      <c r="AO169" s="97"/>
      <c r="AP169" s="97"/>
      <c r="AQ169" s="97"/>
      <c r="AR169" s="97"/>
      <c r="AS169" s="97"/>
      <c r="AT169" s="97"/>
      <c r="AU169" s="97"/>
      <c r="AV169" s="97"/>
      <c r="AW169" s="97"/>
      <c r="AX169" s="97"/>
      <c r="AY169" s="97"/>
      <c r="AZ169" s="97"/>
      <c r="BA169" s="97"/>
      <c r="BB169" s="97"/>
      <c r="BC169" s="97"/>
      <c r="BD169" s="97"/>
      <c r="BE169" s="97"/>
      <c r="BF169" s="97"/>
      <c r="BG169" s="97"/>
      <c r="BH169" s="97"/>
      <c r="BI169" s="97"/>
      <c r="BJ169" s="97"/>
      <c r="BK169" s="97"/>
      <c r="BL169" s="97"/>
      <c r="BM169" s="97"/>
      <c r="BN169" s="97"/>
      <c r="BO169" s="97"/>
      <c r="BP169" s="97"/>
      <c r="BQ169" s="97"/>
      <c r="BR169" s="97"/>
      <c r="BS169" s="97"/>
      <c r="BT169" s="97"/>
      <c r="BU169" s="97"/>
      <c r="BV169" s="97"/>
      <c r="BW169" s="97"/>
      <c r="BX169" s="97"/>
      <c r="BY169" s="97"/>
      <c r="BZ169" s="97"/>
      <c r="CA169" s="97"/>
      <c r="CB169" s="97"/>
      <c r="CC169" s="97"/>
      <c r="CD169" s="97"/>
      <c r="CE169" s="97"/>
      <c r="CF169" s="97"/>
      <c r="CG169" s="97"/>
      <c r="CH169" s="97"/>
      <c r="CI169" s="97"/>
      <c r="CJ169" s="97"/>
      <c r="CK169" s="97"/>
      <c r="CL169" s="97"/>
      <c r="CM169" s="97"/>
      <c r="CN169" s="97"/>
      <c r="CO169" s="97"/>
      <c r="CP169" s="97"/>
      <c r="CQ169" s="97"/>
      <c r="CR169" s="97"/>
      <c r="CS169" s="97"/>
      <c r="CT169" s="97"/>
      <c r="CU169" s="97"/>
      <c r="CV169" s="97"/>
      <c r="CW169" s="97"/>
      <c r="CX169" s="97"/>
      <c r="CY169" s="97"/>
      <c r="CZ169" s="97"/>
      <c r="DA169" s="97"/>
      <c r="DB169" s="97"/>
      <c r="DC169" s="97"/>
      <c r="DD169" s="97"/>
      <c r="DE169" s="97"/>
      <c r="DF169" s="97"/>
      <c r="DG169" s="97"/>
      <c r="DH169" s="97"/>
      <c r="DI169" s="97"/>
      <c r="DJ169" s="97"/>
      <c r="DK169" s="97"/>
      <c r="DL169" s="97"/>
      <c r="DM169" s="97"/>
      <c r="DN169" s="97"/>
      <c r="DO169" s="97"/>
      <c r="DP169" s="97"/>
      <c r="DQ169" s="97"/>
      <c r="DR169" s="97"/>
      <c r="DS169" s="97"/>
      <c r="DT169" s="97"/>
      <c r="DU169" s="97"/>
      <c r="DV169" s="97"/>
      <c r="DW169" s="97"/>
      <c r="DX169" s="97"/>
    </row>
    <row r="170" ht="14.25" customHeight="1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97"/>
      <c r="AH170" s="97"/>
      <c r="AI170" s="97"/>
      <c r="AJ170" s="97"/>
      <c r="AK170" s="97"/>
      <c r="AL170" s="97"/>
      <c r="AM170" s="97"/>
      <c r="AN170" s="97"/>
      <c r="AO170" s="97"/>
      <c r="AP170" s="97"/>
      <c r="AQ170" s="97"/>
      <c r="AR170" s="97"/>
      <c r="AS170" s="97"/>
      <c r="AT170" s="97"/>
      <c r="AU170" s="97"/>
      <c r="AV170" s="97"/>
      <c r="AW170" s="97"/>
      <c r="AX170" s="97"/>
      <c r="AY170" s="97"/>
      <c r="AZ170" s="97"/>
      <c r="BA170" s="97"/>
      <c r="BB170" s="97"/>
      <c r="BC170" s="97"/>
      <c r="BD170" s="97"/>
      <c r="BE170" s="97"/>
      <c r="BF170" s="97"/>
      <c r="BG170" s="97"/>
      <c r="BH170" s="97"/>
      <c r="BI170" s="97"/>
      <c r="BJ170" s="97"/>
      <c r="BK170" s="97"/>
      <c r="BL170" s="97"/>
      <c r="BM170" s="97"/>
      <c r="BN170" s="97"/>
      <c r="BO170" s="97"/>
      <c r="BP170" s="97"/>
      <c r="BQ170" s="97"/>
      <c r="BR170" s="97"/>
      <c r="BS170" s="97"/>
      <c r="BT170" s="97"/>
      <c r="BU170" s="97"/>
      <c r="BV170" s="97"/>
      <c r="BW170" s="97"/>
      <c r="BX170" s="97"/>
      <c r="BY170" s="97"/>
      <c r="BZ170" s="97"/>
      <c r="CA170" s="97"/>
      <c r="CB170" s="97"/>
      <c r="CC170" s="97"/>
      <c r="CD170" s="97"/>
      <c r="CE170" s="97"/>
      <c r="CF170" s="97"/>
      <c r="CG170" s="97"/>
      <c r="CH170" s="97"/>
      <c r="CI170" s="97"/>
      <c r="CJ170" s="97"/>
      <c r="CK170" s="97"/>
      <c r="CL170" s="97"/>
      <c r="CM170" s="97"/>
      <c r="CN170" s="97"/>
      <c r="CO170" s="97"/>
      <c r="CP170" s="97"/>
      <c r="CQ170" s="97"/>
      <c r="CR170" s="97"/>
      <c r="CS170" s="97"/>
      <c r="CT170" s="97"/>
      <c r="CU170" s="97"/>
      <c r="CV170" s="97"/>
      <c r="CW170" s="97"/>
      <c r="CX170" s="97"/>
      <c r="CY170" s="97"/>
      <c r="CZ170" s="97"/>
      <c r="DA170" s="97"/>
      <c r="DB170" s="97"/>
      <c r="DC170" s="97"/>
      <c r="DD170" s="97"/>
      <c r="DE170" s="97"/>
      <c r="DF170" s="97"/>
      <c r="DG170" s="97"/>
      <c r="DH170" s="97"/>
      <c r="DI170" s="97"/>
      <c r="DJ170" s="97"/>
      <c r="DK170" s="97"/>
      <c r="DL170" s="97"/>
      <c r="DM170" s="97"/>
      <c r="DN170" s="97"/>
      <c r="DO170" s="97"/>
      <c r="DP170" s="97"/>
      <c r="DQ170" s="97"/>
      <c r="DR170" s="97"/>
      <c r="DS170" s="97"/>
      <c r="DT170" s="97"/>
      <c r="DU170" s="97"/>
      <c r="DV170" s="97"/>
      <c r="DW170" s="97"/>
      <c r="DX170" s="97"/>
    </row>
    <row r="171" ht="14.25" customHeight="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97"/>
      <c r="AH171" s="97"/>
      <c r="AI171" s="97"/>
      <c r="AJ171" s="97"/>
      <c r="AK171" s="97"/>
      <c r="AL171" s="97"/>
      <c r="AM171" s="97"/>
      <c r="AN171" s="97"/>
      <c r="AO171" s="97"/>
      <c r="AP171" s="97"/>
      <c r="AQ171" s="97"/>
      <c r="AR171" s="97"/>
      <c r="AS171" s="97"/>
      <c r="AT171" s="97"/>
      <c r="AU171" s="97"/>
      <c r="AV171" s="97"/>
      <c r="AW171" s="97"/>
      <c r="AX171" s="97"/>
      <c r="AY171" s="97"/>
      <c r="AZ171" s="97"/>
      <c r="BA171" s="97"/>
      <c r="BB171" s="97"/>
      <c r="BC171" s="97"/>
      <c r="BD171" s="97"/>
      <c r="BE171" s="97"/>
      <c r="BF171" s="97"/>
      <c r="BG171" s="97"/>
      <c r="BH171" s="97"/>
      <c r="BI171" s="97"/>
      <c r="BJ171" s="97"/>
      <c r="BK171" s="97"/>
      <c r="BL171" s="97"/>
      <c r="BM171" s="97"/>
      <c r="BN171" s="97"/>
      <c r="BO171" s="97"/>
      <c r="BP171" s="97"/>
      <c r="BQ171" s="97"/>
      <c r="BR171" s="97"/>
      <c r="BS171" s="97"/>
      <c r="BT171" s="97"/>
      <c r="BU171" s="97"/>
      <c r="BV171" s="97"/>
      <c r="BW171" s="97"/>
      <c r="BX171" s="97"/>
      <c r="BY171" s="97"/>
      <c r="BZ171" s="97"/>
      <c r="CA171" s="97"/>
      <c r="CB171" s="97"/>
      <c r="CC171" s="97"/>
      <c r="CD171" s="97"/>
      <c r="CE171" s="97"/>
      <c r="CF171" s="97"/>
      <c r="CG171" s="97"/>
      <c r="CH171" s="97"/>
      <c r="CI171" s="97"/>
      <c r="CJ171" s="97"/>
      <c r="CK171" s="97"/>
      <c r="CL171" s="97"/>
      <c r="CM171" s="97"/>
      <c r="CN171" s="97"/>
      <c r="CO171" s="97"/>
      <c r="CP171" s="97"/>
      <c r="CQ171" s="97"/>
      <c r="CR171" s="97"/>
      <c r="CS171" s="97"/>
      <c r="CT171" s="97"/>
      <c r="CU171" s="97"/>
      <c r="CV171" s="97"/>
      <c r="CW171" s="97"/>
      <c r="CX171" s="97"/>
      <c r="CY171" s="97"/>
      <c r="CZ171" s="97"/>
      <c r="DA171" s="97"/>
      <c r="DB171" s="97"/>
      <c r="DC171" s="97"/>
      <c r="DD171" s="97"/>
      <c r="DE171" s="97"/>
      <c r="DF171" s="97"/>
      <c r="DG171" s="97"/>
      <c r="DH171" s="97"/>
      <c r="DI171" s="97"/>
      <c r="DJ171" s="97"/>
      <c r="DK171" s="97"/>
      <c r="DL171" s="97"/>
      <c r="DM171" s="97"/>
      <c r="DN171" s="97"/>
      <c r="DO171" s="97"/>
      <c r="DP171" s="97"/>
      <c r="DQ171" s="97"/>
      <c r="DR171" s="97"/>
      <c r="DS171" s="97"/>
      <c r="DT171" s="97"/>
      <c r="DU171" s="97"/>
      <c r="DV171" s="97"/>
      <c r="DW171" s="97"/>
      <c r="DX171" s="97"/>
    </row>
    <row r="172" ht="14.25" customHeight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97"/>
      <c r="AH172" s="97"/>
      <c r="AI172" s="97"/>
      <c r="AJ172" s="97"/>
      <c r="AK172" s="97"/>
      <c r="AL172" s="97"/>
      <c r="AM172" s="97"/>
      <c r="AN172" s="97"/>
      <c r="AO172" s="97"/>
      <c r="AP172" s="97"/>
      <c r="AQ172" s="97"/>
      <c r="AR172" s="97"/>
      <c r="AS172" s="97"/>
      <c r="AT172" s="97"/>
      <c r="AU172" s="97"/>
      <c r="AV172" s="97"/>
      <c r="AW172" s="97"/>
      <c r="AX172" s="97"/>
      <c r="AY172" s="97"/>
      <c r="AZ172" s="97"/>
      <c r="BA172" s="97"/>
      <c r="BB172" s="97"/>
      <c r="BC172" s="97"/>
      <c r="BD172" s="97"/>
      <c r="BE172" s="97"/>
      <c r="BF172" s="97"/>
      <c r="BG172" s="97"/>
      <c r="BH172" s="97"/>
      <c r="BI172" s="97"/>
      <c r="BJ172" s="97"/>
      <c r="BK172" s="97"/>
      <c r="BL172" s="97"/>
      <c r="BM172" s="97"/>
      <c r="BN172" s="97"/>
      <c r="BO172" s="97"/>
      <c r="BP172" s="97"/>
      <c r="BQ172" s="97"/>
      <c r="BR172" s="97"/>
      <c r="BS172" s="97"/>
      <c r="BT172" s="97"/>
      <c r="BU172" s="97"/>
      <c r="BV172" s="97"/>
      <c r="BW172" s="97"/>
      <c r="BX172" s="97"/>
      <c r="BY172" s="97"/>
      <c r="BZ172" s="97"/>
      <c r="CA172" s="97"/>
      <c r="CB172" s="97"/>
      <c r="CC172" s="97"/>
      <c r="CD172" s="97"/>
      <c r="CE172" s="97"/>
      <c r="CF172" s="97"/>
      <c r="CG172" s="97"/>
      <c r="CH172" s="97"/>
      <c r="CI172" s="97"/>
      <c r="CJ172" s="97"/>
      <c r="CK172" s="97"/>
      <c r="CL172" s="97"/>
      <c r="CM172" s="97"/>
      <c r="CN172" s="97"/>
      <c r="CO172" s="97"/>
      <c r="CP172" s="97"/>
      <c r="CQ172" s="97"/>
      <c r="CR172" s="97"/>
      <c r="CS172" s="97"/>
      <c r="CT172" s="97"/>
      <c r="CU172" s="97"/>
      <c r="CV172" s="97"/>
      <c r="CW172" s="97"/>
      <c r="CX172" s="97"/>
      <c r="CY172" s="97"/>
      <c r="CZ172" s="97"/>
      <c r="DA172" s="97"/>
      <c r="DB172" s="97"/>
      <c r="DC172" s="97"/>
      <c r="DD172" s="97"/>
      <c r="DE172" s="97"/>
      <c r="DF172" s="97"/>
      <c r="DG172" s="97"/>
      <c r="DH172" s="97"/>
      <c r="DI172" s="97"/>
      <c r="DJ172" s="97"/>
      <c r="DK172" s="97"/>
      <c r="DL172" s="97"/>
      <c r="DM172" s="97"/>
      <c r="DN172" s="97"/>
      <c r="DO172" s="97"/>
      <c r="DP172" s="97"/>
      <c r="DQ172" s="97"/>
      <c r="DR172" s="97"/>
      <c r="DS172" s="97"/>
      <c r="DT172" s="97"/>
      <c r="DU172" s="97"/>
      <c r="DV172" s="97"/>
      <c r="DW172" s="97"/>
      <c r="DX172" s="97"/>
    </row>
    <row r="173" ht="14.25" customHeight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97"/>
      <c r="AH173" s="97"/>
      <c r="AI173" s="97"/>
      <c r="AJ173" s="97"/>
      <c r="AK173" s="97"/>
      <c r="AL173" s="97"/>
      <c r="AM173" s="97"/>
      <c r="AN173" s="97"/>
      <c r="AO173" s="97"/>
      <c r="AP173" s="97"/>
      <c r="AQ173" s="97"/>
      <c r="AR173" s="97"/>
      <c r="AS173" s="97"/>
      <c r="AT173" s="97"/>
      <c r="AU173" s="97"/>
      <c r="AV173" s="97"/>
      <c r="AW173" s="97"/>
      <c r="AX173" s="97"/>
      <c r="AY173" s="97"/>
      <c r="AZ173" s="97"/>
      <c r="BA173" s="97"/>
      <c r="BB173" s="97"/>
      <c r="BC173" s="97"/>
      <c r="BD173" s="97"/>
      <c r="BE173" s="97"/>
      <c r="BF173" s="97"/>
      <c r="BG173" s="97"/>
      <c r="BH173" s="97"/>
      <c r="BI173" s="97"/>
      <c r="BJ173" s="97"/>
      <c r="BK173" s="97"/>
      <c r="BL173" s="97"/>
      <c r="BM173" s="97"/>
      <c r="BN173" s="97"/>
      <c r="BO173" s="97"/>
      <c r="BP173" s="97"/>
      <c r="BQ173" s="97"/>
      <c r="BR173" s="97"/>
      <c r="BS173" s="97"/>
      <c r="BT173" s="97"/>
      <c r="BU173" s="97"/>
      <c r="BV173" s="97"/>
      <c r="BW173" s="97"/>
      <c r="BX173" s="97"/>
      <c r="BY173" s="97"/>
      <c r="BZ173" s="97"/>
      <c r="CA173" s="97"/>
      <c r="CB173" s="97"/>
      <c r="CC173" s="97"/>
      <c r="CD173" s="97"/>
      <c r="CE173" s="97"/>
      <c r="CF173" s="97"/>
      <c r="CG173" s="97"/>
      <c r="CH173" s="97"/>
      <c r="CI173" s="97"/>
      <c r="CJ173" s="97"/>
      <c r="CK173" s="97"/>
      <c r="CL173" s="97"/>
      <c r="CM173" s="97"/>
      <c r="CN173" s="97"/>
      <c r="CO173" s="97"/>
      <c r="CP173" s="97"/>
      <c r="CQ173" s="97"/>
      <c r="CR173" s="97"/>
      <c r="CS173" s="97"/>
      <c r="CT173" s="97"/>
      <c r="CU173" s="97"/>
      <c r="CV173" s="97"/>
      <c r="CW173" s="97"/>
      <c r="CX173" s="97"/>
      <c r="CY173" s="97"/>
      <c r="CZ173" s="97"/>
      <c r="DA173" s="97"/>
      <c r="DB173" s="97"/>
      <c r="DC173" s="97"/>
      <c r="DD173" s="97"/>
      <c r="DE173" s="97"/>
      <c r="DF173" s="97"/>
      <c r="DG173" s="97"/>
      <c r="DH173" s="97"/>
      <c r="DI173" s="97"/>
      <c r="DJ173" s="97"/>
      <c r="DK173" s="97"/>
      <c r="DL173" s="97"/>
      <c r="DM173" s="97"/>
      <c r="DN173" s="97"/>
      <c r="DO173" s="97"/>
      <c r="DP173" s="97"/>
      <c r="DQ173" s="97"/>
      <c r="DR173" s="97"/>
      <c r="DS173" s="97"/>
      <c r="DT173" s="97"/>
      <c r="DU173" s="97"/>
      <c r="DV173" s="97"/>
      <c r="DW173" s="97"/>
      <c r="DX173" s="97"/>
    </row>
    <row r="174" ht="14.25" customHeight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97"/>
      <c r="AH174" s="97"/>
      <c r="AI174" s="97"/>
      <c r="AJ174" s="97"/>
      <c r="AK174" s="97"/>
      <c r="AL174" s="97"/>
      <c r="AM174" s="97"/>
      <c r="AN174" s="97"/>
      <c r="AO174" s="97"/>
      <c r="AP174" s="97"/>
      <c r="AQ174" s="97"/>
      <c r="AR174" s="97"/>
      <c r="AS174" s="97"/>
      <c r="AT174" s="97"/>
      <c r="AU174" s="97"/>
      <c r="AV174" s="97"/>
      <c r="AW174" s="97"/>
      <c r="AX174" s="97"/>
      <c r="AY174" s="97"/>
      <c r="AZ174" s="97"/>
      <c r="BA174" s="97"/>
      <c r="BB174" s="97"/>
      <c r="BC174" s="97"/>
      <c r="BD174" s="97"/>
      <c r="BE174" s="97"/>
      <c r="BF174" s="97"/>
      <c r="BG174" s="97"/>
      <c r="BH174" s="97"/>
      <c r="BI174" s="97"/>
      <c r="BJ174" s="97"/>
      <c r="BK174" s="97"/>
      <c r="BL174" s="97"/>
      <c r="BM174" s="97"/>
      <c r="BN174" s="97"/>
      <c r="BO174" s="97"/>
      <c r="BP174" s="97"/>
      <c r="BQ174" s="97"/>
      <c r="BR174" s="97"/>
      <c r="BS174" s="97"/>
      <c r="BT174" s="97"/>
      <c r="BU174" s="97"/>
      <c r="BV174" s="97"/>
      <c r="BW174" s="97"/>
      <c r="BX174" s="97"/>
      <c r="BY174" s="97"/>
      <c r="BZ174" s="97"/>
      <c r="CA174" s="97"/>
      <c r="CB174" s="97"/>
      <c r="CC174" s="97"/>
      <c r="CD174" s="97"/>
      <c r="CE174" s="97"/>
      <c r="CF174" s="97"/>
      <c r="CG174" s="97"/>
      <c r="CH174" s="97"/>
      <c r="CI174" s="97"/>
      <c r="CJ174" s="97"/>
      <c r="CK174" s="97"/>
      <c r="CL174" s="97"/>
      <c r="CM174" s="97"/>
      <c r="CN174" s="97"/>
      <c r="CO174" s="97"/>
      <c r="CP174" s="97"/>
      <c r="CQ174" s="97"/>
      <c r="CR174" s="97"/>
      <c r="CS174" s="97"/>
      <c r="CT174" s="97"/>
      <c r="CU174" s="97"/>
      <c r="CV174" s="97"/>
      <c r="CW174" s="97"/>
      <c r="CX174" s="97"/>
      <c r="CY174" s="97"/>
      <c r="CZ174" s="97"/>
      <c r="DA174" s="97"/>
      <c r="DB174" s="97"/>
      <c r="DC174" s="97"/>
      <c r="DD174" s="97"/>
      <c r="DE174" s="97"/>
      <c r="DF174" s="97"/>
      <c r="DG174" s="97"/>
      <c r="DH174" s="97"/>
      <c r="DI174" s="97"/>
      <c r="DJ174" s="97"/>
      <c r="DK174" s="97"/>
      <c r="DL174" s="97"/>
      <c r="DM174" s="97"/>
      <c r="DN174" s="97"/>
      <c r="DO174" s="97"/>
      <c r="DP174" s="97"/>
      <c r="DQ174" s="97"/>
      <c r="DR174" s="97"/>
      <c r="DS174" s="97"/>
      <c r="DT174" s="97"/>
      <c r="DU174" s="97"/>
      <c r="DV174" s="97"/>
      <c r="DW174" s="97"/>
      <c r="DX174" s="97"/>
    </row>
    <row r="175" ht="14.25" customHeight="1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97"/>
      <c r="AH175" s="97"/>
      <c r="AI175" s="97"/>
      <c r="AJ175" s="97"/>
      <c r="AK175" s="97"/>
      <c r="AL175" s="97"/>
      <c r="AM175" s="97"/>
      <c r="AN175" s="97"/>
      <c r="AO175" s="97"/>
      <c r="AP175" s="97"/>
      <c r="AQ175" s="97"/>
      <c r="AR175" s="97"/>
      <c r="AS175" s="97"/>
      <c r="AT175" s="97"/>
      <c r="AU175" s="97"/>
      <c r="AV175" s="97"/>
      <c r="AW175" s="97"/>
      <c r="AX175" s="97"/>
      <c r="AY175" s="97"/>
      <c r="AZ175" s="97"/>
      <c r="BA175" s="97"/>
      <c r="BB175" s="97"/>
      <c r="BC175" s="97"/>
      <c r="BD175" s="97"/>
      <c r="BE175" s="97"/>
      <c r="BF175" s="97"/>
      <c r="BG175" s="97"/>
      <c r="BH175" s="97"/>
      <c r="BI175" s="97"/>
      <c r="BJ175" s="97"/>
      <c r="BK175" s="97"/>
      <c r="BL175" s="97"/>
      <c r="BM175" s="97"/>
      <c r="BN175" s="97"/>
      <c r="BO175" s="97"/>
      <c r="BP175" s="97"/>
      <c r="BQ175" s="97"/>
      <c r="BR175" s="97"/>
      <c r="BS175" s="97"/>
      <c r="BT175" s="97"/>
      <c r="BU175" s="97"/>
      <c r="BV175" s="97"/>
      <c r="BW175" s="97"/>
      <c r="BX175" s="97"/>
      <c r="BY175" s="97"/>
      <c r="BZ175" s="97"/>
      <c r="CA175" s="97"/>
      <c r="CB175" s="97"/>
      <c r="CC175" s="97"/>
      <c r="CD175" s="97"/>
      <c r="CE175" s="97"/>
      <c r="CF175" s="97"/>
      <c r="CG175" s="97"/>
      <c r="CH175" s="97"/>
      <c r="CI175" s="97"/>
      <c r="CJ175" s="97"/>
      <c r="CK175" s="97"/>
      <c r="CL175" s="97"/>
      <c r="CM175" s="97"/>
      <c r="CN175" s="97"/>
      <c r="CO175" s="97"/>
      <c r="CP175" s="97"/>
      <c r="CQ175" s="97"/>
      <c r="CR175" s="97"/>
      <c r="CS175" s="97"/>
      <c r="CT175" s="97"/>
      <c r="CU175" s="97"/>
      <c r="CV175" s="97"/>
      <c r="CW175" s="97"/>
      <c r="CX175" s="97"/>
      <c r="CY175" s="97"/>
      <c r="CZ175" s="97"/>
      <c r="DA175" s="97"/>
      <c r="DB175" s="97"/>
      <c r="DC175" s="97"/>
      <c r="DD175" s="97"/>
      <c r="DE175" s="97"/>
      <c r="DF175" s="97"/>
      <c r="DG175" s="97"/>
      <c r="DH175" s="97"/>
      <c r="DI175" s="97"/>
      <c r="DJ175" s="97"/>
      <c r="DK175" s="97"/>
      <c r="DL175" s="97"/>
      <c r="DM175" s="97"/>
      <c r="DN175" s="97"/>
      <c r="DO175" s="97"/>
      <c r="DP175" s="97"/>
      <c r="DQ175" s="97"/>
      <c r="DR175" s="97"/>
      <c r="DS175" s="97"/>
      <c r="DT175" s="97"/>
      <c r="DU175" s="97"/>
      <c r="DV175" s="97"/>
      <c r="DW175" s="97"/>
      <c r="DX175" s="97"/>
    </row>
    <row r="176" ht="14.25" customHeight="1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97"/>
      <c r="AH176" s="97"/>
      <c r="AI176" s="97"/>
      <c r="AJ176" s="97"/>
      <c r="AK176" s="97"/>
      <c r="AL176" s="97"/>
      <c r="AM176" s="97"/>
      <c r="AN176" s="97"/>
      <c r="AO176" s="97"/>
      <c r="AP176" s="97"/>
      <c r="AQ176" s="97"/>
      <c r="AR176" s="97"/>
      <c r="AS176" s="97"/>
      <c r="AT176" s="97"/>
      <c r="AU176" s="97"/>
      <c r="AV176" s="97"/>
      <c r="AW176" s="97"/>
      <c r="AX176" s="97"/>
      <c r="AY176" s="97"/>
      <c r="AZ176" s="97"/>
      <c r="BA176" s="97"/>
      <c r="BB176" s="97"/>
      <c r="BC176" s="97"/>
      <c r="BD176" s="97"/>
      <c r="BE176" s="97"/>
      <c r="BF176" s="97"/>
      <c r="BG176" s="97"/>
      <c r="BH176" s="97"/>
      <c r="BI176" s="97"/>
      <c r="BJ176" s="97"/>
      <c r="BK176" s="97"/>
      <c r="BL176" s="97"/>
      <c r="BM176" s="97"/>
      <c r="BN176" s="97"/>
      <c r="BO176" s="97"/>
      <c r="BP176" s="97"/>
      <c r="BQ176" s="97"/>
      <c r="BR176" s="97"/>
      <c r="BS176" s="97"/>
      <c r="BT176" s="97"/>
      <c r="BU176" s="97"/>
      <c r="BV176" s="97"/>
      <c r="BW176" s="97"/>
      <c r="BX176" s="97"/>
      <c r="BY176" s="97"/>
      <c r="BZ176" s="97"/>
      <c r="CA176" s="97"/>
      <c r="CB176" s="97"/>
      <c r="CC176" s="97"/>
      <c r="CD176" s="97"/>
      <c r="CE176" s="97"/>
      <c r="CF176" s="97"/>
      <c r="CG176" s="97"/>
      <c r="CH176" s="97"/>
      <c r="CI176" s="97"/>
      <c r="CJ176" s="97"/>
      <c r="CK176" s="97"/>
      <c r="CL176" s="97"/>
      <c r="CM176" s="97"/>
      <c r="CN176" s="97"/>
      <c r="CO176" s="97"/>
      <c r="CP176" s="97"/>
      <c r="CQ176" s="97"/>
      <c r="CR176" s="97"/>
      <c r="CS176" s="97"/>
      <c r="CT176" s="97"/>
      <c r="CU176" s="97"/>
      <c r="CV176" s="97"/>
      <c r="CW176" s="97"/>
      <c r="CX176" s="97"/>
      <c r="CY176" s="97"/>
      <c r="CZ176" s="97"/>
      <c r="DA176" s="97"/>
      <c r="DB176" s="97"/>
      <c r="DC176" s="97"/>
      <c r="DD176" s="97"/>
      <c r="DE176" s="97"/>
      <c r="DF176" s="97"/>
      <c r="DG176" s="97"/>
      <c r="DH176" s="97"/>
      <c r="DI176" s="97"/>
      <c r="DJ176" s="97"/>
      <c r="DK176" s="97"/>
      <c r="DL176" s="97"/>
      <c r="DM176" s="97"/>
      <c r="DN176" s="97"/>
      <c r="DO176" s="97"/>
      <c r="DP176" s="97"/>
      <c r="DQ176" s="97"/>
      <c r="DR176" s="97"/>
      <c r="DS176" s="97"/>
      <c r="DT176" s="97"/>
      <c r="DU176" s="97"/>
      <c r="DV176" s="97"/>
      <c r="DW176" s="97"/>
      <c r="DX176" s="97"/>
    </row>
    <row r="177" ht="14.25" customHeight="1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97"/>
      <c r="AH177" s="97"/>
      <c r="AI177" s="97"/>
      <c r="AJ177" s="97"/>
      <c r="AK177" s="97"/>
      <c r="AL177" s="97"/>
      <c r="AM177" s="97"/>
      <c r="AN177" s="97"/>
      <c r="AO177" s="97"/>
      <c r="AP177" s="97"/>
      <c r="AQ177" s="97"/>
      <c r="AR177" s="97"/>
      <c r="AS177" s="97"/>
      <c r="AT177" s="97"/>
      <c r="AU177" s="97"/>
      <c r="AV177" s="97"/>
      <c r="AW177" s="97"/>
      <c r="AX177" s="97"/>
      <c r="AY177" s="97"/>
      <c r="AZ177" s="97"/>
      <c r="BA177" s="97"/>
      <c r="BB177" s="97"/>
      <c r="BC177" s="97"/>
      <c r="BD177" s="97"/>
      <c r="BE177" s="97"/>
      <c r="BF177" s="97"/>
      <c r="BG177" s="97"/>
      <c r="BH177" s="97"/>
      <c r="BI177" s="97"/>
      <c r="BJ177" s="97"/>
      <c r="BK177" s="97"/>
      <c r="BL177" s="97"/>
      <c r="BM177" s="97"/>
      <c r="BN177" s="97"/>
      <c r="BO177" s="97"/>
      <c r="BP177" s="97"/>
      <c r="BQ177" s="97"/>
      <c r="BR177" s="97"/>
      <c r="BS177" s="97"/>
      <c r="BT177" s="97"/>
      <c r="BU177" s="97"/>
      <c r="BV177" s="97"/>
      <c r="BW177" s="97"/>
      <c r="BX177" s="97"/>
      <c r="BY177" s="97"/>
      <c r="BZ177" s="97"/>
      <c r="CA177" s="97"/>
      <c r="CB177" s="97"/>
      <c r="CC177" s="97"/>
      <c r="CD177" s="97"/>
      <c r="CE177" s="97"/>
      <c r="CF177" s="97"/>
      <c r="CG177" s="97"/>
      <c r="CH177" s="97"/>
      <c r="CI177" s="97"/>
      <c r="CJ177" s="97"/>
      <c r="CK177" s="97"/>
      <c r="CL177" s="97"/>
      <c r="CM177" s="97"/>
      <c r="CN177" s="97"/>
      <c r="CO177" s="97"/>
      <c r="CP177" s="97"/>
      <c r="CQ177" s="97"/>
      <c r="CR177" s="97"/>
      <c r="CS177" s="97"/>
      <c r="CT177" s="97"/>
      <c r="CU177" s="97"/>
      <c r="CV177" s="97"/>
      <c r="CW177" s="97"/>
      <c r="CX177" s="97"/>
      <c r="CY177" s="97"/>
      <c r="CZ177" s="97"/>
      <c r="DA177" s="97"/>
      <c r="DB177" s="97"/>
      <c r="DC177" s="97"/>
      <c r="DD177" s="97"/>
      <c r="DE177" s="97"/>
      <c r="DF177" s="97"/>
      <c r="DG177" s="97"/>
      <c r="DH177" s="97"/>
      <c r="DI177" s="97"/>
      <c r="DJ177" s="97"/>
      <c r="DK177" s="97"/>
      <c r="DL177" s="97"/>
      <c r="DM177" s="97"/>
      <c r="DN177" s="97"/>
      <c r="DO177" s="97"/>
      <c r="DP177" s="97"/>
      <c r="DQ177" s="97"/>
      <c r="DR177" s="97"/>
      <c r="DS177" s="97"/>
      <c r="DT177" s="97"/>
      <c r="DU177" s="97"/>
      <c r="DV177" s="97"/>
      <c r="DW177" s="97"/>
      <c r="DX177" s="97"/>
    </row>
    <row r="178" ht="14.25" customHeight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97"/>
      <c r="AH178" s="97"/>
      <c r="AI178" s="97"/>
      <c r="AJ178" s="97"/>
      <c r="AK178" s="97"/>
      <c r="AL178" s="97"/>
      <c r="AM178" s="97"/>
      <c r="AN178" s="97"/>
      <c r="AO178" s="97"/>
      <c r="AP178" s="97"/>
      <c r="AQ178" s="97"/>
      <c r="AR178" s="97"/>
      <c r="AS178" s="97"/>
      <c r="AT178" s="97"/>
      <c r="AU178" s="97"/>
      <c r="AV178" s="97"/>
      <c r="AW178" s="97"/>
      <c r="AX178" s="97"/>
      <c r="AY178" s="97"/>
      <c r="AZ178" s="97"/>
      <c r="BA178" s="97"/>
      <c r="BB178" s="97"/>
      <c r="BC178" s="97"/>
      <c r="BD178" s="97"/>
      <c r="BE178" s="97"/>
      <c r="BF178" s="97"/>
      <c r="BG178" s="97"/>
      <c r="BH178" s="97"/>
      <c r="BI178" s="97"/>
      <c r="BJ178" s="97"/>
      <c r="BK178" s="97"/>
      <c r="BL178" s="97"/>
      <c r="BM178" s="97"/>
      <c r="BN178" s="97"/>
      <c r="BO178" s="97"/>
      <c r="BP178" s="97"/>
      <c r="BQ178" s="97"/>
      <c r="BR178" s="97"/>
      <c r="BS178" s="97"/>
      <c r="BT178" s="97"/>
      <c r="BU178" s="97"/>
      <c r="BV178" s="97"/>
      <c r="BW178" s="97"/>
      <c r="BX178" s="97"/>
      <c r="BY178" s="97"/>
      <c r="BZ178" s="97"/>
      <c r="CA178" s="97"/>
      <c r="CB178" s="97"/>
      <c r="CC178" s="97"/>
      <c r="CD178" s="97"/>
      <c r="CE178" s="97"/>
      <c r="CF178" s="97"/>
      <c r="CG178" s="97"/>
      <c r="CH178" s="97"/>
      <c r="CI178" s="97"/>
      <c r="CJ178" s="97"/>
      <c r="CK178" s="97"/>
      <c r="CL178" s="97"/>
      <c r="CM178" s="97"/>
      <c r="CN178" s="97"/>
      <c r="CO178" s="97"/>
      <c r="CP178" s="97"/>
      <c r="CQ178" s="97"/>
      <c r="CR178" s="97"/>
      <c r="CS178" s="97"/>
      <c r="CT178" s="97"/>
      <c r="CU178" s="97"/>
      <c r="CV178" s="97"/>
      <c r="CW178" s="97"/>
      <c r="CX178" s="97"/>
      <c r="CY178" s="97"/>
      <c r="CZ178" s="97"/>
      <c r="DA178" s="97"/>
      <c r="DB178" s="97"/>
      <c r="DC178" s="97"/>
      <c r="DD178" s="97"/>
      <c r="DE178" s="97"/>
      <c r="DF178" s="97"/>
      <c r="DG178" s="97"/>
      <c r="DH178" s="97"/>
      <c r="DI178" s="97"/>
      <c r="DJ178" s="97"/>
      <c r="DK178" s="97"/>
      <c r="DL178" s="97"/>
      <c r="DM178" s="97"/>
      <c r="DN178" s="97"/>
      <c r="DO178" s="97"/>
      <c r="DP178" s="97"/>
      <c r="DQ178" s="97"/>
      <c r="DR178" s="97"/>
      <c r="DS178" s="97"/>
      <c r="DT178" s="97"/>
      <c r="DU178" s="97"/>
      <c r="DV178" s="97"/>
      <c r="DW178" s="97"/>
      <c r="DX178" s="97"/>
    </row>
    <row r="179" ht="14.25" customHeight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97"/>
      <c r="AH179" s="97"/>
      <c r="AI179" s="97"/>
      <c r="AJ179" s="97"/>
      <c r="AK179" s="97"/>
      <c r="AL179" s="97"/>
      <c r="AM179" s="97"/>
      <c r="AN179" s="97"/>
      <c r="AO179" s="97"/>
      <c r="AP179" s="97"/>
      <c r="AQ179" s="97"/>
      <c r="AR179" s="97"/>
      <c r="AS179" s="97"/>
      <c r="AT179" s="97"/>
      <c r="AU179" s="97"/>
      <c r="AV179" s="97"/>
      <c r="AW179" s="97"/>
      <c r="AX179" s="97"/>
      <c r="AY179" s="97"/>
      <c r="AZ179" s="97"/>
      <c r="BA179" s="97"/>
      <c r="BB179" s="97"/>
      <c r="BC179" s="97"/>
      <c r="BD179" s="97"/>
      <c r="BE179" s="97"/>
      <c r="BF179" s="97"/>
      <c r="BG179" s="97"/>
      <c r="BH179" s="97"/>
      <c r="BI179" s="97"/>
      <c r="BJ179" s="97"/>
      <c r="BK179" s="97"/>
      <c r="BL179" s="97"/>
      <c r="BM179" s="97"/>
      <c r="BN179" s="97"/>
      <c r="BO179" s="97"/>
      <c r="BP179" s="97"/>
      <c r="BQ179" s="97"/>
      <c r="BR179" s="97"/>
      <c r="BS179" s="97"/>
      <c r="BT179" s="97"/>
      <c r="BU179" s="97"/>
      <c r="BV179" s="97"/>
      <c r="BW179" s="97"/>
      <c r="BX179" s="97"/>
      <c r="BY179" s="97"/>
      <c r="BZ179" s="97"/>
      <c r="CA179" s="97"/>
      <c r="CB179" s="97"/>
      <c r="CC179" s="97"/>
      <c r="CD179" s="97"/>
      <c r="CE179" s="97"/>
      <c r="CF179" s="97"/>
      <c r="CG179" s="97"/>
      <c r="CH179" s="97"/>
      <c r="CI179" s="97"/>
      <c r="CJ179" s="97"/>
      <c r="CK179" s="97"/>
      <c r="CL179" s="97"/>
      <c r="CM179" s="97"/>
      <c r="CN179" s="97"/>
      <c r="CO179" s="97"/>
      <c r="CP179" s="97"/>
      <c r="CQ179" s="97"/>
      <c r="CR179" s="97"/>
      <c r="CS179" s="97"/>
      <c r="CT179" s="97"/>
      <c r="CU179" s="97"/>
      <c r="CV179" s="97"/>
      <c r="CW179" s="97"/>
      <c r="CX179" s="97"/>
      <c r="CY179" s="97"/>
      <c r="CZ179" s="97"/>
      <c r="DA179" s="97"/>
      <c r="DB179" s="97"/>
      <c r="DC179" s="97"/>
      <c r="DD179" s="97"/>
      <c r="DE179" s="97"/>
      <c r="DF179" s="97"/>
      <c r="DG179" s="97"/>
      <c r="DH179" s="97"/>
      <c r="DI179" s="97"/>
      <c r="DJ179" s="97"/>
      <c r="DK179" s="97"/>
      <c r="DL179" s="97"/>
      <c r="DM179" s="97"/>
      <c r="DN179" s="97"/>
      <c r="DO179" s="97"/>
      <c r="DP179" s="97"/>
      <c r="DQ179" s="97"/>
      <c r="DR179" s="97"/>
      <c r="DS179" s="97"/>
      <c r="DT179" s="97"/>
      <c r="DU179" s="97"/>
      <c r="DV179" s="97"/>
      <c r="DW179" s="97"/>
      <c r="DX179" s="97"/>
    </row>
    <row r="180" ht="14.25" customHeight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97"/>
      <c r="AH180" s="97"/>
      <c r="AI180" s="97"/>
      <c r="AJ180" s="97"/>
      <c r="AK180" s="97"/>
      <c r="AL180" s="97"/>
      <c r="AM180" s="97"/>
      <c r="AN180" s="97"/>
      <c r="AO180" s="97"/>
      <c r="AP180" s="97"/>
      <c r="AQ180" s="97"/>
      <c r="AR180" s="97"/>
      <c r="AS180" s="97"/>
      <c r="AT180" s="97"/>
      <c r="AU180" s="97"/>
      <c r="AV180" s="97"/>
      <c r="AW180" s="97"/>
      <c r="AX180" s="97"/>
      <c r="AY180" s="97"/>
      <c r="AZ180" s="97"/>
      <c r="BA180" s="97"/>
      <c r="BB180" s="97"/>
      <c r="BC180" s="97"/>
      <c r="BD180" s="97"/>
      <c r="BE180" s="97"/>
      <c r="BF180" s="97"/>
      <c r="BG180" s="97"/>
      <c r="BH180" s="97"/>
      <c r="BI180" s="97"/>
      <c r="BJ180" s="97"/>
      <c r="BK180" s="97"/>
      <c r="BL180" s="97"/>
      <c r="BM180" s="97"/>
      <c r="BN180" s="97"/>
      <c r="BO180" s="97"/>
      <c r="BP180" s="97"/>
      <c r="BQ180" s="97"/>
      <c r="BR180" s="97"/>
      <c r="BS180" s="97"/>
      <c r="BT180" s="97"/>
      <c r="BU180" s="97"/>
      <c r="BV180" s="97"/>
      <c r="BW180" s="97"/>
      <c r="BX180" s="97"/>
      <c r="BY180" s="97"/>
      <c r="BZ180" s="97"/>
      <c r="CA180" s="97"/>
      <c r="CB180" s="97"/>
      <c r="CC180" s="97"/>
      <c r="CD180" s="97"/>
      <c r="CE180" s="97"/>
      <c r="CF180" s="97"/>
      <c r="CG180" s="97"/>
      <c r="CH180" s="97"/>
      <c r="CI180" s="97"/>
      <c r="CJ180" s="97"/>
      <c r="CK180" s="97"/>
      <c r="CL180" s="97"/>
      <c r="CM180" s="97"/>
      <c r="CN180" s="97"/>
      <c r="CO180" s="97"/>
      <c r="CP180" s="97"/>
      <c r="CQ180" s="97"/>
      <c r="CR180" s="97"/>
      <c r="CS180" s="97"/>
      <c r="CT180" s="97"/>
      <c r="CU180" s="97"/>
      <c r="CV180" s="97"/>
      <c r="CW180" s="97"/>
      <c r="CX180" s="97"/>
      <c r="CY180" s="97"/>
      <c r="CZ180" s="97"/>
      <c r="DA180" s="97"/>
      <c r="DB180" s="97"/>
      <c r="DC180" s="97"/>
      <c r="DD180" s="97"/>
      <c r="DE180" s="97"/>
      <c r="DF180" s="97"/>
      <c r="DG180" s="97"/>
      <c r="DH180" s="97"/>
      <c r="DI180" s="97"/>
      <c r="DJ180" s="97"/>
      <c r="DK180" s="97"/>
      <c r="DL180" s="97"/>
      <c r="DM180" s="97"/>
      <c r="DN180" s="97"/>
      <c r="DO180" s="97"/>
      <c r="DP180" s="97"/>
      <c r="DQ180" s="97"/>
      <c r="DR180" s="97"/>
      <c r="DS180" s="97"/>
      <c r="DT180" s="97"/>
      <c r="DU180" s="97"/>
      <c r="DV180" s="97"/>
      <c r="DW180" s="97"/>
      <c r="DX180" s="97"/>
    </row>
    <row r="181" ht="14.25" customHeight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97"/>
      <c r="AH181" s="97"/>
      <c r="AI181" s="97"/>
      <c r="AJ181" s="97"/>
      <c r="AK181" s="97"/>
      <c r="AL181" s="97"/>
      <c r="AM181" s="97"/>
      <c r="AN181" s="97"/>
      <c r="AO181" s="97"/>
      <c r="AP181" s="97"/>
      <c r="AQ181" s="97"/>
      <c r="AR181" s="97"/>
      <c r="AS181" s="97"/>
      <c r="AT181" s="97"/>
      <c r="AU181" s="97"/>
      <c r="AV181" s="97"/>
      <c r="AW181" s="97"/>
      <c r="AX181" s="97"/>
      <c r="AY181" s="97"/>
      <c r="AZ181" s="97"/>
      <c r="BA181" s="97"/>
      <c r="BB181" s="97"/>
      <c r="BC181" s="97"/>
      <c r="BD181" s="97"/>
      <c r="BE181" s="97"/>
      <c r="BF181" s="97"/>
      <c r="BG181" s="97"/>
      <c r="BH181" s="97"/>
      <c r="BI181" s="97"/>
      <c r="BJ181" s="97"/>
      <c r="BK181" s="97"/>
      <c r="BL181" s="97"/>
      <c r="BM181" s="97"/>
      <c r="BN181" s="97"/>
      <c r="BO181" s="97"/>
      <c r="BP181" s="97"/>
      <c r="BQ181" s="97"/>
      <c r="BR181" s="97"/>
      <c r="BS181" s="97"/>
      <c r="BT181" s="97"/>
      <c r="BU181" s="97"/>
      <c r="BV181" s="97"/>
      <c r="BW181" s="97"/>
      <c r="BX181" s="97"/>
      <c r="BY181" s="97"/>
      <c r="BZ181" s="97"/>
      <c r="CA181" s="97"/>
      <c r="CB181" s="97"/>
      <c r="CC181" s="97"/>
      <c r="CD181" s="97"/>
      <c r="CE181" s="97"/>
      <c r="CF181" s="97"/>
      <c r="CG181" s="97"/>
      <c r="CH181" s="97"/>
      <c r="CI181" s="97"/>
      <c r="CJ181" s="97"/>
      <c r="CK181" s="97"/>
      <c r="CL181" s="97"/>
      <c r="CM181" s="97"/>
      <c r="CN181" s="97"/>
      <c r="CO181" s="97"/>
      <c r="CP181" s="97"/>
      <c r="CQ181" s="97"/>
      <c r="CR181" s="97"/>
      <c r="CS181" s="97"/>
      <c r="CT181" s="97"/>
      <c r="CU181" s="97"/>
      <c r="CV181" s="97"/>
      <c r="CW181" s="97"/>
      <c r="CX181" s="97"/>
      <c r="CY181" s="97"/>
      <c r="CZ181" s="97"/>
      <c r="DA181" s="97"/>
      <c r="DB181" s="97"/>
      <c r="DC181" s="97"/>
      <c r="DD181" s="97"/>
      <c r="DE181" s="97"/>
      <c r="DF181" s="97"/>
      <c r="DG181" s="97"/>
      <c r="DH181" s="97"/>
      <c r="DI181" s="97"/>
      <c r="DJ181" s="97"/>
      <c r="DK181" s="97"/>
      <c r="DL181" s="97"/>
      <c r="DM181" s="97"/>
      <c r="DN181" s="97"/>
      <c r="DO181" s="97"/>
      <c r="DP181" s="97"/>
      <c r="DQ181" s="97"/>
      <c r="DR181" s="97"/>
      <c r="DS181" s="97"/>
      <c r="DT181" s="97"/>
      <c r="DU181" s="97"/>
      <c r="DV181" s="97"/>
      <c r="DW181" s="97"/>
      <c r="DX181" s="97"/>
    </row>
    <row r="182" ht="14.25" customHeight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97"/>
      <c r="AH182" s="97"/>
      <c r="AI182" s="97"/>
      <c r="AJ182" s="97"/>
      <c r="AK182" s="97"/>
      <c r="AL182" s="97"/>
      <c r="AM182" s="97"/>
      <c r="AN182" s="97"/>
      <c r="AO182" s="97"/>
      <c r="AP182" s="97"/>
      <c r="AQ182" s="97"/>
      <c r="AR182" s="97"/>
      <c r="AS182" s="97"/>
      <c r="AT182" s="97"/>
      <c r="AU182" s="97"/>
      <c r="AV182" s="97"/>
      <c r="AW182" s="97"/>
      <c r="AX182" s="97"/>
      <c r="AY182" s="97"/>
      <c r="AZ182" s="97"/>
      <c r="BA182" s="97"/>
      <c r="BB182" s="97"/>
      <c r="BC182" s="97"/>
      <c r="BD182" s="97"/>
      <c r="BE182" s="97"/>
      <c r="BF182" s="97"/>
      <c r="BG182" s="97"/>
      <c r="BH182" s="97"/>
      <c r="BI182" s="97"/>
      <c r="BJ182" s="97"/>
      <c r="BK182" s="97"/>
      <c r="BL182" s="97"/>
      <c r="BM182" s="97"/>
      <c r="BN182" s="97"/>
      <c r="BO182" s="97"/>
      <c r="BP182" s="97"/>
      <c r="BQ182" s="97"/>
      <c r="BR182" s="97"/>
      <c r="BS182" s="97"/>
      <c r="BT182" s="97"/>
      <c r="BU182" s="97"/>
      <c r="BV182" s="97"/>
      <c r="BW182" s="97"/>
      <c r="BX182" s="97"/>
      <c r="BY182" s="97"/>
      <c r="BZ182" s="97"/>
      <c r="CA182" s="97"/>
      <c r="CB182" s="97"/>
      <c r="CC182" s="97"/>
      <c r="CD182" s="97"/>
      <c r="CE182" s="97"/>
      <c r="CF182" s="97"/>
      <c r="CG182" s="97"/>
      <c r="CH182" s="97"/>
      <c r="CI182" s="97"/>
      <c r="CJ182" s="97"/>
      <c r="CK182" s="97"/>
      <c r="CL182" s="97"/>
      <c r="CM182" s="97"/>
      <c r="CN182" s="97"/>
      <c r="CO182" s="97"/>
      <c r="CP182" s="97"/>
      <c r="CQ182" s="97"/>
      <c r="CR182" s="97"/>
      <c r="CS182" s="97"/>
      <c r="CT182" s="97"/>
      <c r="CU182" s="97"/>
      <c r="CV182" s="97"/>
      <c r="CW182" s="97"/>
      <c r="CX182" s="97"/>
      <c r="CY182" s="97"/>
      <c r="CZ182" s="97"/>
      <c r="DA182" s="97"/>
      <c r="DB182" s="97"/>
      <c r="DC182" s="97"/>
      <c r="DD182" s="97"/>
      <c r="DE182" s="97"/>
      <c r="DF182" s="97"/>
      <c r="DG182" s="97"/>
      <c r="DH182" s="97"/>
      <c r="DI182" s="97"/>
      <c r="DJ182" s="97"/>
      <c r="DK182" s="97"/>
      <c r="DL182" s="97"/>
      <c r="DM182" s="97"/>
      <c r="DN182" s="97"/>
      <c r="DO182" s="97"/>
      <c r="DP182" s="97"/>
      <c r="DQ182" s="97"/>
      <c r="DR182" s="97"/>
      <c r="DS182" s="97"/>
      <c r="DT182" s="97"/>
      <c r="DU182" s="97"/>
      <c r="DV182" s="97"/>
      <c r="DW182" s="97"/>
      <c r="DX182" s="97"/>
    </row>
    <row r="183" ht="14.25" customHeight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97"/>
      <c r="AH183" s="97"/>
      <c r="AI183" s="97"/>
      <c r="AJ183" s="97"/>
      <c r="AK183" s="97"/>
      <c r="AL183" s="97"/>
      <c r="AM183" s="97"/>
      <c r="AN183" s="97"/>
      <c r="AO183" s="97"/>
      <c r="AP183" s="97"/>
      <c r="AQ183" s="97"/>
      <c r="AR183" s="97"/>
      <c r="AS183" s="97"/>
      <c r="AT183" s="97"/>
      <c r="AU183" s="97"/>
      <c r="AV183" s="97"/>
      <c r="AW183" s="97"/>
      <c r="AX183" s="97"/>
      <c r="AY183" s="97"/>
      <c r="AZ183" s="97"/>
      <c r="BA183" s="97"/>
      <c r="BB183" s="97"/>
      <c r="BC183" s="97"/>
      <c r="BD183" s="97"/>
      <c r="BE183" s="97"/>
      <c r="BF183" s="97"/>
      <c r="BG183" s="97"/>
      <c r="BH183" s="97"/>
      <c r="BI183" s="97"/>
      <c r="BJ183" s="97"/>
      <c r="BK183" s="97"/>
      <c r="BL183" s="97"/>
      <c r="BM183" s="97"/>
      <c r="BN183" s="97"/>
      <c r="BO183" s="97"/>
      <c r="BP183" s="97"/>
      <c r="BQ183" s="97"/>
      <c r="BR183" s="97"/>
      <c r="BS183" s="97"/>
      <c r="BT183" s="97"/>
      <c r="BU183" s="97"/>
      <c r="BV183" s="97"/>
      <c r="BW183" s="97"/>
      <c r="BX183" s="97"/>
      <c r="BY183" s="97"/>
      <c r="BZ183" s="97"/>
      <c r="CA183" s="97"/>
      <c r="CB183" s="97"/>
      <c r="CC183" s="97"/>
      <c r="CD183" s="97"/>
      <c r="CE183" s="97"/>
      <c r="CF183" s="97"/>
      <c r="CG183" s="97"/>
      <c r="CH183" s="97"/>
      <c r="CI183" s="97"/>
      <c r="CJ183" s="97"/>
      <c r="CK183" s="97"/>
      <c r="CL183" s="97"/>
      <c r="CM183" s="97"/>
      <c r="CN183" s="97"/>
      <c r="CO183" s="97"/>
      <c r="CP183" s="97"/>
      <c r="CQ183" s="97"/>
      <c r="CR183" s="97"/>
      <c r="CS183" s="97"/>
      <c r="CT183" s="97"/>
      <c r="CU183" s="97"/>
      <c r="CV183" s="97"/>
      <c r="CW183" s="97"/>
      <c r="CX183" s="97"/>
      <c r="CY183" s="97"/>
      <c r="CZ183" s="97"/>
      <c r="DA183" s="97"/>
      <c r="DB183" s="97"/>
      <c r="DC183" s="97"/>
      <c r="DD183" s="97"/>
      <c r="DE183" s="97"/>
      <c r="DF183" s="97"/>
      <c r="DG183" s="97"/>
      <c r="DH183" s="97"/>
      <c r="DI183" s="97"/>
      <c r="DJ183" s="97"/>
      <c r="DK183" s="97"/>
      <c r="DL183" s="97"/>
      <c r="DM183" s="97"/>
      <c r="DN183" s="97"/>
      <c r="DO183" s="97"/>
      <c r="DP183" s="97"/>
      <c r="DQ183" s="97"/>
      <c r="DR183" s="97"/>
      <c r="DS183" s="97"/>
      <c r="DT183" s="97"/>
      <c r="DU183" s="97"/>
      <c r="DV183" s="97"/>
      <c r="DW183" s="97"/>
      <c r="DX183" s="97"/>
    </row>
    <row r="184" ht="14.25" customHeight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97"/>
      <c r="AH184" s="97"/>
      <c r="AI184" s="97"/>
      <c r="AJ184" s="97"/>
      <c r="AK184" s="97"/>
      <c r="AL184" s="97"/>
      <c r="AM184" s="97"/>
      <c r="AN184" s="97"/>
      <c r="AO184" s="97"/>
      <c r="AP184" s="97"/>
      <c r="AQ184" s="97"/>
      <c r="AR184" s="97"/>
      <c r="AS184" s="97"/>
      <c r="AT184" s="97"/>
      <c r="AU184" s="97"/>
      <c r="AV184" s="97"/>
      <c r="AW184" s="97"/>
      <c r="AX184" s="97"/>
      <c r="AY184" s="97"/>
      <c r="AZ184" s="97"/>
      <c r="BA184" s="97"/>
      <c r="BB184" s="97"/>
      <c r="BC184" s="97"/>
      <c r="BD184" s="97"/>
      <c r="BE184" s="97"/>
      <c r="BF184" s="97"/>
      <c r="BG184" s="97"/>
      <c r="BH184" s="97"/>
      <c r="BI184" s="97"/>
      <c r="BJ184" s="97"/>
      <c r="BK184" s="97"/>
      <c r="BL184" s="97"/>
      <c r="BM184" s="97"/>
      <c r="BN184" s="97"/>
      <c r="BO184" s="97"/>
      <c r="BP184" s="97"/>
      <c r="BQ184" s="97"/>
      <c r="BR184" s="97"/>
      <c r="BS184" s="97"/>
      <c r="BT184" s="97"/>
      <c r="BU184" s="97"/>
      <c r="BV184" s="97"/>
      <c r="BW184" s="97"/>
      <c r="BX184" s="97"/>
      <c r="BY184" s="97"/>
      <c r="BZ184" s="97"/>
      <c r="CA184" s="97"/>
      <c r="CB184" s="97"/>
      <c r="CC184" s="97"/>
      <c r="CD184" s="97"/>
      <c r="CE184" s="97"/>
      <c r="CF184" s="97"/>
      <c r="CG184" s="97"/>
      <c r="CH184" s="97"/>
      <c r="CI184" s="97"/>
      <c r="CJ184" s="97"/>
      <c r="CK184" s="97"/>
      <c r="CL184" s="97"/>
      <c r="CM184" s="97"/>
      <c r="CN184" s="97"/>
      <c r="CO184" s="97"/>
      <c r="CP184" s="97"/>
      <c r="CQ184" s="97"/>
      <c r="CR184" s="97"/>
      <c r="CS184" s="97"/>
      <c r="CT184" s="97"/>
      <c r="CU184" s="97"/>
      <c r="CV184" s="97"/>
      <c r="CW184" s="97"/>
      <c r="CX184" s="97"/>
      <c r="CY184" s="97"/>
      <c r="CZ184" s="97"/>
      <c r="DA184" s="97"/>
      <c r="DB184" s="97"/>
      <c r="DC184" s="97"/>
      <c r="DD184" s="97"/>
      <c r="DE184" s="97"/>
      <c r="DF184" s="97"/>
      <c r="DG184" s="97"/>
      <c r="DH184" s="97"/>
      <c r="DI184" s="97"/>
      <c r="DJ184" s="97"/>
      <c r="DK184" s="97"/>
      <c r="DL184" s="97"/>
      <c r="DM184" s="97"/>
      <c r="DN184" s="97"/>
      <c r="DO184" s="97"/>
      <c r="DP184" s="97"/>
      <c r="DQ184" s="97"/>
      <c r="DR184" s="97"/>
      <c r="DS184" s="97"/>
      <c r="DT184" s="97"/>
      <c r="DU184" s="97"/>
      <c r="DV184" s="97"/>
      <c r="DW184" s="97"/>
      <c r="DX184" s="97"/>
    </row>
    <row r="185" ht="14.25" customHeight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97"/>
      <c r="AH185" s="97"/>
      <c r="AI185" s="97"/>
      <c r="AJ185" s="97"/>
      <c r="AK185" s="97"/>
      <c r="AL185" s="97"/>
      <c r="AM185" s="97"/>
      <c r="AN185" s="97"/>
      <c r="AO185" s="97"/>
      <c r="AP185" s="97"/>
      <c r="AQ185" s="97"/>
      <c r="AR185" s="97"/>
      <c r="AS185" s="97"/>
      <c r="AT185" s="97"/>
      <c r="AU185" s="97"/>
      <c r="AV185" s="97"/>
      <c r="AW185" s="97"/>
      <c r="AX185" s="97"/>
      <c r="AY185" s="97"/>
      <c r="AZ185" s="97"/>
      <c r="BA185" s="97"/>
      <c r="BB185" s="97"/>
      <c r="BC185" s="97"/>
      <c r="BD185" s="97"/>
      <c r="BE185" s="97"/>
      <c r="BF185" s="97"/>
      <c r="BG185" s="97"/>
      <c r="BH185" s="97"/>
      <c r="BI185" s="97"/>
      <c r="BJ185" s="97"/>
      <c r="BK185" s="97"/>
      <c r="BL185" s="97"/>
      <c r="BM185" s="97"/>
      <c r="BN185" s="97"/>
      <c r="BO185" s="97"/>
      <c r="BP185" s="97"/>
      <c r="BQ185" s="97"/>
      <c r="BR185" s="97"/>
      <c r="BS185" s="97"/>
      <c r="BT185" s="97"/>
      <c r="BU185" s="97"/>
      <c r="BV185" s="97"/>
      <c r="BW185" s="97"/>
      <c r="BX185" s="97"/>
      <c r="BY185" s="97"/>
      <c r="BZ185" s="97"/>
      <c r="CA185" s="97"/>
      <c r="CB185" s="97"/>
      <c r="CC185" s="97"/>
      <c r="CD185" s="97"/>
      <c r="CE185" s="97"/>
      <c r="CF185" s="97"/>
      <c r="CG185" s="97"/>
      <c r="CH185" s="97"/>
      <c r="CI185" s="97"/>
      <c r="CJ185" s="97"/>
      <c r="CK185" s="97"/>
      <c r="CL185" s="97"/>
      <c r="CM185" s="97"/>
      <c r="CN185" s="97"/>
      <c r="CO185" s="97"/>
      <c r="CP185" s="97"/>
      <c r="CQ185" s="97"/>
      <c r="CR185" s="97"/>
      <c r="CS185" s="97"/>
      <c r="CT185" s="97"/>
      <c r="CU185" s="97"/>
      <c r="CV185" s="97"/>
      <c r="CW185" s="97"/>
      <c r="CX185" s="97"/>
      <c r="CY185" s="97"/>
      <c r="CZ185" s="97"/>
      <c r="DA185" s="97"/>
      <c r="DB185" s="97"/>
      <c r="DC185" s="97"/>
      <c r="DD185" s="97"/>
      <c r="DE185" s="97"/>
      <c r="DF185" s="97"/>
      <c r="DG185" s="97"/>
      <c r="DH185" s="97"/>
      <c r="DI185" s="97"/>
      <c r="DJ185" s="97"/>
      <c r="DK185" s="97"/>
      <c r="DL185" s="97"/>
      <c r="DM185" s="97"/>
      <c r="DN185" s="97"/>
      <c r="DO185" s="97"/>
      <c r="DP185" s="97"/>
      <c r="DQ185" s="97"/>
      <c r="DR185" s="97"/>
      <c r="DS185" s="97"/>
      <c r="DT185" s="97"/>
      <c r="DU185" s="97"/>
      <c r="DV185" s="97"/>
      <c r="DW185" s="97"/>
      <c r="DX185" s="97"/>
    </row>
    <row r="186" ht="14.25" customHeight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97"/>
      <c r="AH186" s="97"/>
      <c r="AI186" s="97"/>
      <c r="AJ186" s="97"/>
      <c r="AK186" s="97"/>
      <c r="AL186" s="97"/>
      <c r="AM186" s="97"/>
      <c r="AN186" s="97"/>
      <c r="AO186" s="97"/>
      <c r="AP186" s="97"/>
      <c r="AQ186" s="97"/>
      <c r="AR186" s="97"/>
      <c r="AS186" s="97"/>
      <c r="AT186" s="97"/>
      <c r="AU186" s="97"/>
      <c r="AV186" s="97"/>
      <c r="AW186" s="97"/>
      <c r="AX186" s="97"/>
      <c r="AY186" s="97"/>
      <c r="AZ186" s="97"/>
      <c r="BA186" s="97"/>
      <c r="BB186" s="97"/>
      <c r="BC186" s="97"/>
      <c r="BD186" s="97"/>
      <c r="BE186" s="97"/>
      <c r="BF186" s="97"/>
      <c r="BG186" s="97"/>
      <c r="BH186" s="97"/>
      <c r="BI186" s="97"/>
      <c r="BJ186" s="97"/>
      <c r="BK186" s="97"/>
      <c r="BL186" s="97"/>
      <c r="BM186" s="97"/>
      <c r="BN186" s="97"/>
      <c r="BO186" s="97"/>
      <c r="BP186" s="97"/>
      <c r="BQ186" s="97"/>
      <c r="BR186" s="97"/>
      <c r="BS186" s="97"/>
      <c r="BT186" s="97"/>
      <c r="BU186" s="97"/>
      <c r="BV186" s="97"/>
      <c r="BW186" s="97"/>
      <c r="BX186" s="97"/>
      <c r="BY186" s="97"/>
      <c r="BZ186" s="97"/>
      <c r="CA186" s="97"/>
      <c r="CB186" s="97"/>
      <c r="CC186" s="97"/>
      <c r="CD186" s="97"/>
      <c r="CE186" s="97"/>
      <c r="CF186" s="97"/>
      <c r="CG186" s="97"/>
      <c r="CH186" s="97"/>
      <c r="CI186" s="97"/>
      <c r="CJ186" s="97"/>
      <c r="CK186" s="97"/>
      <c r="CL186" s="97"/>
      <c r="CM186" s="97"/>
      <c r="CN186" s="97"/>
      <c r="CO186" s="97"/>
      <c r="CP186" s="97"/>
      <c r="CQ186" s="97"/>
      <c r="CR186" s="97"/>
      <c r="CS186" s="97"/>
      <c r="CT186" s="97"/>
      <c r="CU186" s="97"/>
      <c r="CV186" s="97"/>
      <c r="CW186" s="97"/>
      <c r="CX186" s="97"/>
      <c r="CY186" s="97"/>
      <c r="CZ186" s="97"/>
      <c r="DA186" s="97"/>
      <c r="DB186" s="97"/>
      <c r="DC186" s="97"/>
      <c r="DD186" s="97"/>
      <c r="DE186" s="97"/>
      <c r="DF186" s="97"/>
      <c r="DG186" s="97"/>
      <c r="DH186" s="97"/>
      <c r="DI186" s="97"/>
      <c r="DJ186" s="97"/>
      <c r="DK186" s="97"/>
      <c r="DL186" s="97"/>
      <c r="DM186" s="97"/>
      <c r="DN186" s="97"/>
      <c r="DO186" s="97"/>
      <c r="DP186" s="97"/>
      <c r="DQ186" s="97"/>
      <c r="DR186" s="97"/>
      <c r="DS186" s="97"/>
      <c r="DT186" s="97"/>
      <c r="DU186" s="97"/>
      <c r="DV186" s="97"/>
      <c r="DW186" s="97"/>
      <c r="DX186" s="97"/>
    </row>
    <row r="187" ht="14.25" customHeight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97"/>
      <c r="AH187" s="97"/>
      <c r="AI187" s="97"/>
      <c r="AJ187" s="97"/>
      <c r="AK187" s="97"/>
      <c r="AL187" s="97"/>
      <c r="AM187" s="97"/>
      <c r="AN187" s="97"/>
      <c r="AO187" s="97"/>
      <c r="AP187" s="97"/>
      <c r="AQ187" s="97"/>
      <c r="AR187" s="97"/>
      <c r="AS187" s="97"/>
      <c r="AT187" s="97"/>
      <c r="AU187" s="97"/>
      <c r="AV187" s="97"/>
      <c r="AW187" s="97"/>
      <c r="AX187" s="97"/>
      <c r="AY187" s="97"/>
      <c r="AZ187" s="97"/>
      <c r="BA187" s="97"/>
      <c r="BB187" s="97"/>
      <c r="BC187" s="97"/>
      <c r="BD187" s="97"/>
      <c r="BE187" s="97"/>
      <c r="BF187" s="97"/>
      <c r="BG187" s="97"/>
      <c r="BH187" s="97"/>
      <c r="BI187" s="97"/>
      <c r="BJ187" s="97"/>
      <c r="BK187" s="97"/>
      <c r="BL187" s="97"/>
      <c r="BM187" s="97"/>
      <c r="BN187" s="97"/>
      <c r="BO187" s="97"/>
      <c r="BP187" s="97"/>
      <c r="BQ187" s="97"/>
      <c r="BR187" s="97"/>
      <c r="BS187" s="97"/>
      <c r="BT187" s="97"/>
      <c r="BU187" s="97"/>
      <c r="BV187" s="97"/>
      <c r="BW187" s="97"/>
      <c r="BX187" s="97"/>
      <c r="BY187" s="97"/>
      <c r="BZ187" s="97"/>
      <c r="CA187" s="97"/>
      <c r="CB187" s="97"/>
      <c r="CC187" s="97"/>
      <c r="CD187" s="97"/>
      <c r="CE187" s="97"/>
      <c r="CF187" s="97"/>
      <c r="CG187" s="97"/>
      <c r="CH187" s="97"/>
      <c r="CI187" s="97"/>
      <c r="CJ187" s="97"/>
      <c r="CK187" s="97"/>
      <c r="CL187" s="97"/>
      <c r="CM187" s="97"/>
      <c r="CN187" s="97"/>
      <c r="CO187" s="97"/>
      <c r="CP187" s="97"/>
      <c r="CQ187" s="97"/>
      <c r="CR187" s="97"/>
      <c r="CS187" s="97"/>
      <c r="CT187" s="97"/>
      <c r="CU187" s="97"/>
      <c r="CV187" s="97"/>
      <c r="CW187" s="97"/>
      <c r="CX187" s="97"/>
      <c r="CY187" s="97"/>
      <c r="CZ187" s="97"/>
      <c r="DA187" s="97"/>
      <c r="DB187" s="97"/>
      <c r="DC187" s="97"/>
      <c r="DD187" s="97"/>
      <c r="DE187" s="97"/>
      <c r="DF187" s="97"/>
      <c r="DG187" s="97"/>
      <c r="DH187" s="97"/>
      <c r="DI187" s="97"/>
      <c r="DJ187" s="97"/>
      <c r="DK187" s="97"/>
      <c r="DL187" s="97"/>
      <c r="DM187" s="97"/>
      <c r="DN187" s="97"/>
      <c r="DO187" s="97"/>
      <c r="DP187" s="97"/>
      <c r="DQ187" s="97"/>
      <c r="DR187" s="97"/>
      <c r="DS187" s="97"/>
      <c r="DT187" s="97"/>
      <c r="DU187" s="97"/>
      <c r="DV187" s="97"/>
      <c r="DW187" s="97"/>
      <c r="DX187" s="97"/>
    </row>
    <row r="188" ht="14.25" customHeight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97"/>
      <c r="AH188" s="97"/>
      <c r="AI188" s="97"/>
      <c r="AJ188" s="97"/>
      <c r="AK188" s="97"/>
      <c r="AL188" s="97"/>
      <c r="AM188" s="97"/>
      <c r="AN188" s="97"/>
      <c r="AO188" s="97"/>
      <c r="AP188" s="97"/>
      <c r="AQ188" s="97"/>
      <c r="AR188" s="97"/>
      <c r="AS188" s="97"/>
      <c r="AT188" s="97"/>
      <c r="AU188" s="97"/>
      <c r="AV188" s="97"/>
      <c r="AW188" s="97"/>
      <c r="AX188" s="97"/>
      <c r="AY188" s="97"/>
      <c r="AZ188" s="97"/>
      <c r="BA188" s="97"/>
      <c r="BB188" s="97"/>
      <c r="BC188" s="97"/>
      <c r="BD188" s="97"/>
      <c r="BE188" s="97"/>
      <c r="BF188" s="97"/>
      <c r="BG188" s="97"/>
      <c r="BH188" s="97"/>
      <c r="BI188" s="97"/>
      <c r="BJ188" s="97"/>
      <c r="BK188" s="97"/>
      <c r="BL188" s="97"/>
      <c r="BM188" s="97"/>
      <c r="BN188" s="97"/>
      <c r="BO188" s="97"/>
      <c r="BP188" s="97"/>
      <c r="BQ188" s="97"/>
      <c r="BR188" s="97"/>
      <c r="BS188" s="97"/>
      <c r="BT188" s="97"/>
      <c r="BU188" s="97"/>
      <c r="BV188" s="97"/>
      <c r="BW188" s="97"/>
      <c r="BX188" s="97"/>
      <c r="BY188" s="97"/>
      <c r="BZ188" s="97"/>
      <c r="CA188" s="97"/>
      <c r="CB188" s="97"/>
      <c r="CC188" s="97"/>
      <c r="CD188" s="97"/>
      <c r="CE188" s="97"/>
      <c r="CF188" s="97"/>
      <c r="CG188" s="97"/>
      <c r="CH188" s="97"/>
      <c r="CI188" s="97"/>
      <c r="CJ188" s="97"/>
      <c r="CK188" s="97"/>
      <c r="CL188" s="97"/>
      <c r="CM188" s="97"/>
      <c r="CN188" s="97"/>
      <c r="CO188" s="97"/>
      <c r="CP188" s="97"/>
      <c r="CQ188" s="97"/>
      <c r="CR188" s="97"/>
      <c r="CS188" s="97"/>
      <c r="CT188" s="97"/>
      <c r="CU188" s="97"/>
      <c r="CV188" s="97"/>
      <c r="CW188" s="97"/>
      <c r="CX188" s="97"/>
      <c r="CY188" s="97"/>
      <c r="CZ188" s="97"/>
      <c r="DA188" s="97"/>
      <c r="DB188" s="97"/>
      <c r="DC188" s="97"/>
      <c r="DD188" s="97"/>
      <c r="DE188" s="97"/>
      <c r="DF188" s="97"/>
      <c r="DG188" s="97"/>
      <c r="DH188" s="97"/>
      <c r="DI188" s="97"/>
      <c r="DJ188" s="97"/>
      <c r="DK188" s="97"/>
      <c r="DL188" s="97"/>
      <c r="DM188" s="97"/>
      <c r="DN188" s="97"/>
      <c r="DO188" s="97"/>
      <c r="DP188" s="97"/>
      <c r="DQ188" s="97"/>
      <c r="DR188" s="97"/>
      <c r="DS188" s="97"/>
      <c r="DT188" s="97"/>
      <c r="DU188" s="97"/>
      <c r="DV188" s="97"/>
      <c r="DW188" s="97"/>
      <c r="DX188" s="97"/>
    </row>
    <row r="189" ht="14.25" customHeight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97"/>
      <c r="AH189" s="97"/>
      <c r="AI189" s="97"/>
      <c r="AJ189" s="97"/>
      <c r="AK189" s="97"/>
      <c r="AL189" s="97"/>
      <c r="AM189" s="97"/>
      <c r="AN189" s="97"/>
      <c r="AO189" s="97"/>
      <c r="AP189" s="97"/>
      <c r="AQ189" s="97"/>
      <c r="AR189" s="97"/>
      <c r="AS189" s="97"/>
      <c r="AT189" s="97"/>
      <c r="AU189" s="97"/>
      <c r="AV189" s="97"/>
      <c r="AW189" s="97"/>
      <c r="AX189" s="97"/>
      <c r="AY189" s="97"/>
      <c r="AZ189" s="97"/>
      <c r="BA189" s="97"/>
      <c r="BB189" s="97"/>
      <c r="BC189" s="97"/>
      <c r="BD189" s="97"/>
      <c r="BE189" s="97"/>
      <c r="BF189" s="97"/>
      <c r="BG189" s="97"/>
      <c r="BH189" s="97"/>
      <c r="BI189" s="97"/>
      <c r="BJ189" s="97"/>
      <c r="BK189" s="97"/>
      <c r="BL189" s="97"/>
      <c r="BM189" s="97"/>
      <c r="BN189" s="97"/>
      <c r="BO189" s="97"/>
      <c r="BP189" s="97"/>
      <c r="BQ189" s="97"/>
      <c r="BR189" s="97"/>
      <c r="BS189" s="97"/>
      <c r="BT189" s="97"/>
      <c r="BU189" s="97"/>
      <c r="BV189" s="97"/>
      <c r="BW189" s="97"/>
      <c r="BX189" s="97"/>
      <c r="BY189" s="97"/>
      <c r="BZ189" s="97"/>
      <c r="CA189" s="97"/>
      <c r="CB189" s="97"/>
      <c r="CC189" s="97"/>
      <c r="CD189" s="97"/>
      <c r="CE189" s="97"/>
      <c r="CF189" s="97"/>
      <c r="CG189" s="97"/>
      <c r="CH189" s="97"/>
      <c r="CI189" s="97"/>
      <c r="CJ189" s="97"/>
      <c r="CK189" s="97"/>
      <c r="CL189" s="97"/>
      <c r="CM189" s="97"/>
      <c r="CN189" s="97"/>
      <c r="CO189" s="97"/>
      <c r="CP189" s="97"/>
      <c r="CQ189" s="97"/>
      <c r="CR189" s="97"/>
      <c r="CS189" s="97"/>
      <c r="CT189" s="97"/>
      <c r="CU189" s="97"/>
      <c r="CV189" s="97"/>
      <c r="CW189" s="97"/>
      <c r="CX189" s="97"/>
      <c r="CY189" s="97"/>
      <c r="CZ189" s="97"/>
      <c r="DA189" s="97"/>
      <c r="DB189" s="97"/>
      <c r="DC189" s="97"/>
      <c r="DD189" s="97"/>
      <c r="DE189" s="97"/>
      <c r="DF189" s="97"/>
      <c r="DG189" s="97"/>
      <c r="DH189" s="97"/>
      <c r="DI189" s="97"/>
      <c r="DJ189" s="97"/>
      <c r="DK189" s="97"/>
      <c r="DL189" s="97"/>
      <c r="DM189" s="97"/>
      <c r="DN189" s="97"/>
      <c r="DO189" s="97"/>
      <c r="DP189" s="97"/>
      <c r="DQ189" s="97"/>
      <c r="DR189" s="97"/>
      <c r="DS189" s="97"/>
      <c r="DT189" s="97"/>
      <c r="DU189" s="97"/>
      <c r="DV189" s="97"/>
      <c r="DW189" s="97"/>
      <c r="DX189" s="97"/>
    </row>
    <row r="190" ht="14.25" customHeight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97"/>
      <c r="AH190" s="97"/>
      <c r="AI190" s="97"/>
      <c r="AJ190" s="97"/>
      <c r="AK190" s="97"/>
      <c r="AL190" s="97"/>
      <c r="AM190" s="97"/>
      <c r="AN190" s="97"/>
      <c r="AO190" s="97"/>
      <c r="AP190" s="97"/>
      <c r="AQ190" s="97"/>
      <c r="AR190" s="97"/>
      <c r="AS190" s="97"/>
      <c r="AT190" s="97"/>
      <c r="AU190" s="97"/>
      <c r="AV190" s="97"/>
      <c r="AW190" s="97"/>
      <c r="AX190" s="97"/>
      <c r="AY190" s="97"/>
      <c r="AZ190" s="97"/>
      <c r="BA190" s="97"/>
      <c r="BB190" s="97"/>
      <c r="BC190" s="97"/>
      <c r="BD190" s="97"/>
      <c r="BE190" s="97"/>
      <c r="BF190" s="97"/>
      <c r="BG190" s="97"/>
      <c r="BH190" s="97"/>
      <c r="BI190" s="97"/>
      <c r="BJ190" s="97"/>
      <c r="BK190" s="97"/>
      <c r="BL190" s="97"/>
      <c r="BM190" s="97"/>
      <c r="BN190" s="97"/>
      <c r="BO190" s="97"/>
      <c r="BP190" s="97"/>
      <c r="BQ190" s="97"/>
      <c r="BR190" s="97"/>
      <c r="BS190" s="97"/>
      <c r="BT190" s="97"/>
      <c r="BU190" s="97"/>
      <c r="BV190" s="97"/>
      <c r="BW190" s="97"/>
      <c r="BX190" s="97"/>
      <c r="BY190" s="97"/>
      <c r="BZ190" s="97"/>
      <c r="CA190" s="97"/>
      <c r="CB190" s="97"/>
      <c r="CC190" s="97"/>
      <c r="CD190" s="97"/>
      <c r="CE190" s="97"/>
      <c r="CF190" s="97"/>
      <c r="CG190" s="97"/>
      <c r="CH190" s="97"/>
      <c r="CI190" s="97"/>
      <c r="CJ190" s="97"/>
      <c r="CK190" s="97"/>
      <c r="CL190" s="97"/>
      <c r="CM190" s="97"/>
      <c r="CN190" s="97"/>
      <c r="CO190" s="97"/>
      <c r="CP190" s="97"/>
      <c r="CQ190" s="97"/>
      <c r="CR190" s="97"/>
      <c r="CS190" s="97"/>
      <c r="CT190" s="97"/>
      <c r="CU190" s="97"/>
      <c r="CV190" s="97"/>
      <c r="CW190" s="97"/>
      <c r="CX190" s="97"/>
      <c r="CY190" s="97"/>
      <c r="CZ190" s="97"/>
      <c r="DA190" s="97"/>
      <c r="DB190" s="97"/>
      <c r="DC190" s="97"/>
      <c r="DD190" s="97"/>
      <c r="DE190" s="97"/>
      <c r="DF190" s="97"/>
      <c r="DG190" s="97"/>
      <c r="DH190" s="97"/>
      <c r="DI190" s="97"/>
      <c r="DJ190" s="97"/>
      <c r="DK190" s="97"/>
      <c r="DL190" s="97"/>
      <c r="DM190" s="97"/>
      <c r="DN190" s="97"/>
      <c r="DO190" s="97"/>
      <c r="DP190" s="97"/>
      <c r="DQ190" s="97"/>
      <c r="DR190" s="97"/>
      <c r="DS190" s="97"/>
      <c r="DT190" s="97"/>
      <c r="DU190" s="97"/>
      <c r="DV190" s="97"/>
      <c r="DW190" s="97"/>
      <c r="DX190" s="97"/>
    </row>
    <row r="191" ht="14.25" customHeight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97"/>
      <c r="AH191" s="97"/>
      <c r="AI191" s="97"/>
      <c r="AJ191" s="97"/>
      <c r="AK191" s="97"/>
      <c r="AL191" s="97"/>
      <c r="AM191" s="97"/>
      <c r="AN191" s="97"/>
      <c r="AO191" s="97"/>
      <c r="AP191" s="97"/>
      <c r="AQ191" s="97"/>
      <c r="AR191" s="97"/>
      <c r="AS191" s="97"/>
      <c r="AT191" s="97"/>
      <c r="AU191" s="97"/>
      <c r="AV191" s="97"/>
      <c r="AW191" s="97"/>
      <c r="AX191" s="97"/>
      <c r="AY191" s="97"/>
      <c r="AZ191" s="97"/>
      <c r="BA191" s="97"/>
      <c r="BB191" s="97"/>
      <c r="BC191" s="97"/>
      <c r="BD191" s="97"/>
      <c r="BE191" s="97"/>
      <c r="BF191" s="97"/>
      <c r="BG191" s="97"/>
      <c r="BH191" s="97"/>
      <c r="BI191" s="97"/>
      <c r="BJ191" s="97"/>
      <c r="BK191" s="97"/>
      <c r="BL191" s="97"/>
      <c r="BM191" s="97"/>
      <c r="BN191" s="97"/>
      <c r="BO191" s="97"/>
      <c r="BP191" s="97"/>
      <c r="BQ191" s="97"/>
      <c r="BR191" s="97"/>
      <c r="BS191" s="97"/>
      <c r="BT191" s="97"/>
      <c r="BU191" s="97"/>
      <c r="BV191" s="97"/>
      <c r="BW191" s="97"/>
      <c r="BX191" s="97"/>
      <c r="BY191" s="97"/>
      <c r="BZ191" s="97"/>
      <c r="CA191" s="97"/>
      <c r="CB191" s="97"/>
      <c r="CC191" s="97"/>
      <c r="CD191" s="97"/>
      <c r="CE191" s="97"/>
      <c r="CF191" s="97"/>
      <c r="CG191" s="97"/>
      <c r="CH191" s="97"/>
      <c r="CI191" s="97"/>
      <c r="CJ191" s="97"/>
      <c r="CK191" s="97"/>
      <c r="CL191" s="97"/>
      <c r="CM191" s="97"/>
      <c r="CN191" s="97"/>
      <c r="CO191" s="97"/>
      <c r="CP191" s="97"/>
      <c r="CQ191" s="97"/>
      <c r="CR191" s="97"/>
      <c r="CS191" s="97"/>
      <c r="CT191" s="97"/>
      <c r="CU191" s="97"/>
      <c r="CV191" s="97"/>
      <c r="CW191" s="97"/>
      <c r="CX191" s="97"/>
      <c r="CY191" s="97"/>
      <c r="CZ191" s="97"/>
      <c r="DA191" s="97"/>
      <c r="DB191" s="97"/>
      <c r="DC191" s="97"/>
      <c r="DD191" s="97"/>
      <c r="DE191" s="97"/>
      <c r="DF191" s="97"/>
      <c r="DG191" s="97"/>
      <c r="DH191" s="97"/>
      <c r="DI191" s="97"/>
      <c r="DJ191" s="97"/>
      <c r="DK191" s="97"/>
      <c r="DL191" s="97"/>
      <c r="DM191" s="97"/>
      <c r="DN191" s="97"/>
      <c r="DO191" s="97"/>
      <c r="DP191" s="97"/>
      <c r="DQ191" s="97"/>
      <c r="DR191" s="97"/>
      <c r="DS191" s="97"/>
      <c r="DT191" s="97"/>
      <c r="DU191" s="97"/>
      <c r="DV191" s="97"/>
      <c r="DW191" s="97"/>
      <c r="DX191" s="97"/>
    </row>
    <row r="192" ht="14.25" customHeight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97"/>
      <c r="AH192" s="97"/>
      <c r="AI192" s="97"/>
      <c r="AJ192" s="97"/>
      <c r="AK192" s="97"/>
      <c r="AL192" s="97"/>
      <c r="AM192" s="97"/>
      <c r="AN192" s="97"/>
      <c r="AO192" s="97"/>
      <c r="AP192" s="97"/>
      <c r="AQ192" s="97"/>
      <c r="AR192" s="97"/>
      <c r="AS192" s="97"/>
      <c r="AT192" s="97"/>
      <c r="AU192" s="97"/>
      <c r="AV192" s="97"/>
      <c r="AW192" s="97"/>
      <c r="AX192" s="97"/>
      <c r="AY192" s="97"/>
      <c r="AZ192" s="97"/>
      <c r="BA192" s="97"/>
      <c r="BB192" s="97"/>
      <c r="BC192" s="97"/>
      <c r="BD192" s="97"/>
      <c r="BE192" s="97"/>
      <c r="BF192" s="97"/>
      <c r="BG192" s="97"/>
      <c r="BH192" s="97"/>
      <c r="BI192" s="97"/>
      <c r="BJ192" s="97"/>
      <c r="BK192" s="97"/>
      <c r="BL192" s="97"/>
      <c r="BM192" s="97"/>
      <c r="BN192" s="97"/>
      <c r="BO192" s="97"/>
      <c r="BP192" s="97"/>
      <c r="BQ192" s="97"/>
      <c r="BR192" s="97"/>
      <c r="BS192" s="97"/>
      <c r="BT192" s="97"/>
      <c r="BU192" s="97"/>
      <c r="BV192" s="97"/>
      <c r="BW192" s="97"/>
      <c r="BX192" s="97"/>
      <c r="BY192" s="97"/>
      <c r="BZ192" s="97"/>
      <c r="CA192" s="97"/>
      <c r="CB192" s="97"/>
      <c r="CC192" s="97"/>
      <c r="CD192" s="97"/>
      <c r="CE192" s="97"/>
      <c r="CF192" s="97"/>
      <c r="CG192" s="97"/>
      <c r="CH192" s="97"/>
      <c r="CI192" s="97"/>
      <c r="CJ192" s="97"/>
      <c r="CK192" s="97"/>
      <c r="CL192" s="97"/>
      <c r="CM192" s="97"/>
      <c r="CN192" s="97"/>
      <c r="CO192" s="97"/>
      <c r="CP192" s="97"/>
      <c r="CQ192" s="97"/>
      <c r="CR192" s="97"/>
      <c r="CS192" s="97"/>
      <c r="CT192" s="97"/>
      <c r="CU192" s="97"/>
      <c r="CV192" s="97"/>
      <c r="CW192" s="97"/>
      <c r="CX192" s="97"/>
      <c r="CY192" s="97"/>
      <c r="CZ192" s="97"/>
      <c r="DA192" s="97"/>
      <c r="DB192" s="97"/>
      <c r="DC192" s="97"/>
      <c r="DD192" s="97"/>
      <c r="DE192" s="97"/>
      <c r="DF192" s="97"/>
      <c r="DG192" s="97"/>
      <c r="DH192" s="97"/>
      <c r="DI192" s="97"/>
      <c r="DJ192" s="97"/>
      <c r="DK192" s="97"/>
      <c r="DL192" s="97"/>
      <c r="DM192" s="97"/>
      <c r="DN192" s="97"/>
      <c r="DO192" s="97"/>
      <c r="DP192" s="97"/>
      <c r="DQ192" s="97"/>
      <c r="DR192" s="97"/>
      <c r="DS192" s="97"/>
      <c r="DT192" s="97"/>
      <c r="DU192" s="97"/>
      <c r="DV192" s="97"/>
      <c r="DW192" s="97"/>
      <c r="DX192" s="97"/>
    </row>
    <row r="193" ht="14.25" customHeight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97"/>
      <c r="AH193" s="97"/>
      <c r="AI193" s="97"/>
      <c r="AJ193" s="97"/>
      <c r="AK193" s="97"/>
      <c r="AL193" s="97"/>
      <c r="AM193" s="97"/>
      <c r="AN193" s="97"/>
      <c r="AO193" s="97"/>
      <c r="AP193" s="97"/>
      <c r="AQ193" s="97"/>
      <c r="AR193" s="97"/>
      <c r="AS193" s="97"/>
      <c r="AT193" s="97"/>
      <c r="AU193" s="97"/>
      <c r="AV193" s="97"/>
      <c r="AW193" s="97"/>
      <c r="AX193" s="97"/>
      <c r="AY193" s="97"/>
      <c r="AZ193" s="97"/>
      <c r="BA193" s="97"/>
      <c r="BB193" s="97"/>
      <c r="BC193" s="97"/>
      <c r="BD193" s="97"/>
      <c r="BE193" s="97"/>
      <c r="BF193" s="97"/>
      <c r="BG193" s="97"/>
      <c r="BH193" s="97"/>
      <c r="BI193" s="97"/>
      <c r="BJ193" s="97"/>
      <c r="BK193" s="97"/>
      <c r="BL193" s="97"/>
      <c r="BM193" s="97"/>
      <c r="BN193" s="97"/>
      <c r="BO193" s="97"/>
      <c r="BP193" s="97"/>
      <c r="BQ193" s="97"/>
      <c r="BR193" s="97"/>
      <c r="BS193" s="97"/>
      <c r="BT193" s="97"/>
      <c r="BU193" s="97"/>
      <c r="BV193" s="97"/>
      <c r="BW193" s="97"/>
      <c r="BX193" s="97"/>
      <c r="BY193" s="97"/>
      <c r="BZ193" s="97"/>
      <c r="CA193" s="97"/>
      <c r="CB193" s="97"/>
      <c r="CC193" s="97"/>
      <c r="CD193" s="97"/>
      <c r="CE193" s="97"/>
      <c r="CF193" s="97"/>
      <c r="CG193" s="97"/>
      <c r="CH193" s="97"/>
      <c r="CI193" s="97"/>
      <c r="CJ193" s="97"/>
      <c r="CK193" s="97"/>
      <c r="CL193" s="97"/>
      <c r="CM193" s="97"/>
      <c r="CN193" s="97"/>
      <c r="CO193" s="97"/>
      <c r="CP193" s="97"/>
      <c r="CQ193" s="97"/>
      <c r="CR193" s="97"/>
      <c r="CS193" s="97"/>
      <c r="CT193" s="97"/>
      <c r="CU193" s="97"/>
      <c r="CV193" s="97"/>
      <c r="CW193" s="97"/>
      <c r="CX193" s="97"/>
      <c r="CY193" s="97"/>
      <c r="CZ193" s="97"/>
      <c r="DA193" s="97"/>
      <c r="DB193" s="97"/>
      <c r="DC193" s="97"/>
      <c r="DD193" s="97"/>
      <c r="DE193" s="97"/>
      <c r="DF193" s="97"/>
      <c r="DG193" s="97"/>
      <c r="DH193" s="97"/>
      <c r="DI193" s="97"/>
      <c r="DJ193" s="97"/>
      <c r="DK193" s="97"/>
      <c r="DL193" s="97"/>
      <c r="DM193" s="97"/>
      <c r="DN193" s="97"/>
      <c r="DO193" s="97"/>
      <c r="DP193" s="97"/>
      <c r="DQ193" s="97"/>
      <c r="DR193" s="97"/>
      <c r="DS193" s="97"/>
      <c r="DT193" s="97"/>
      <c r="DU193" s="97"/>
      <c r="DV193" s="97"/>
      <c r="DW193" s="97"/>
      <c r="DX193" s="97"/>
    </row>
    <row r="194" ht="14.25" customHeight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97"/>
      <c r="AH194" s="97"/>
      <c r="AI194" s="97"/>
      <c r="AJ194" s="97"/>
      <c r="AK194" s="97"/>
      <c r="AL194" s="97"/>
      <c r="AM194" s="97"/>
      <c r="AN194" s="97"/>
      <c r="AO194" s="97"/>
      <c r="AP194" s="97"/>
      <c r="AQ194" s="97"/>
      <c r="AR194" s="97"/>
      <c r="AS194" s="97"/>
      <c r="AT194" s="97"/>
      <c r="AU194" s="97"/>
      <c r="AV194" s="97"/>
      <c r="AW194" s="97"/>
      <c r="AX194" s="97"/>
      <c r="AY194" s="97"/>
      <c r="AZ194" s="97"/>
      <c r="BA194" s="97"/>
      <c r="BB194" s="97"/>
      <c r="BC194" s="97"/>
      <c r="BD194" s="97"/>
      <c r="BE194" s="97"/>
      <c r="BF194" s="97"/>
      <c r="BG194" s="97"/>
      <c r="BH194" s="97"/>
      <c r="BI194" s="97"/>
      <c r="BJ194" s="97"/>
      <c r="BK194" s="97"/>
      <c r="BL194" s="97"/>
      <c r="BM194" s="97"/>
      <c r="BN194" s="97"/>
      <c r="BO194" s="97"/>
      <c r="BP194" s="97"/>
      <c r="BQ194" s="97"/>
      <c r="BR194" s="97"/>
      <c r="BS194" s="97"/>
      <c r="BT194" s="97"/>
      <c r="BU194" s="97"/>
      <c r="BV194" s="97"/>
      <c r="BW194" s="97"/>
      <c r="BX194" s="97"/>
      <c r="BY194" s="97"/>
      <c r="BZ194" s="97"/>
      <c r="CA194" s="97"/>
      <c r="CB194" s="97"/>
      <c r="CC194" s="97"/>
      <c r="CD194" s="97"/>
      <c r="CE194" s="97"/>
      <c r="CF194" s="97"/>
      <c r="CG194" s="97"/>
      <c r="CH194" s="97"/>
      <c r="CI194" s="97"/>
      <c r="CJ194" s="97"/>
      <c r="CK194" s="97"/>
      <c r="CL194" s="97"/>
      <c r="CM194" s="97"/>
      <c r="CN194" s="97"/>
      <c r="CO194" s="97"/>
      <c r="CP194" s="97"/>
      <c r="CQ194" s="97"/>
      <c r="CR194" s="97"/>
      <c r="CS194" s="97"/>
      <c r="CT194" s="97"/>
      <c r="CU194" s="97"/>
      <c r="CV194" s="97"/>
      <c r="CW194" s="97"/>
      <c r="CX194" s="97"/>
      <c r="CY194" s="97"/>
      <c r="CZ194" s="97"/>
      <c r="DA194" s="97"/>
      <c r="DB194" s="97"/>
      <c r="DC194" s="97"/>
      <c r="DD194" s="97"/>
      <c r="DE194" s="97"/>
      <c r="DF194" s="97"/>
      <c r="DG194" s="97"/>
      <c r="DH194" s="97"/>
      <c r="DI194" s="97"/>
      <c r="DJ194" s="97"/>
      <c r="DK194" s="97"/>
      <c r="DL194" s="97"/>
      <c r="DM194" s="97"/>
      <c r="DN194" s="97"/>
      <c r="DO194" s="97"/>
      <c r="DP194" s="97"/>
      <c r="DQ194" s="97"/>
      <c r="DR194" s="97"/>
      <c r="DS194" s="97"/>
      <c r="DT194" s="97"/>
      <c r="DU194" s="97"/>
      <c r="DV194" s="97"/>
      <c r="DW194" s="97"/>
      <c r="DX194" s="97"/>
    </row>
    <row r="195" ht="14.25" customHeight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97"/>
      <c r="AH195" s="97"/>
      <c r="AI195" s="97"/>
      <c r="AJ195" s="97"/>
      <c r="AK195" s="97"/>
      <c r="AL195" s="97"/>
      <c r="AM195" s="97"/>
      <c r="AN195" s="97"/>
      <c r="AO195" s="97"/>
      <c r="AP195" s="97"/>
      <c r="AQ195" s="97"/>
      <c r="AR195" s="97"/>
      <c r="AS195" s="97"/>
      <c r="AT195" s="97"/>
      <c r="AU195" s="97"/>
      <c r="AV195" s="97"/>
      <c r="AW195" s="97"/>
      <c r="AX195" s="97"/>
      <c r="AY195" s="97"/>
      <c r="AZ195" s="97"/>
      <c r="BA195" s="97"/>
      <c r="BB195" s="97"/>
      <c r="BC195" s="97"/>
      <c r="BD195" s="97"/>
      <c r="BE195" s="97"/>
      <c r="BF195" s="97"/>
      <c r="BG195" s="97"/>
      <c r="BH195" s="97"/>
      <c r="BI195" s="97"/>
      <c r="BJ195" s="97"/>
      <c r="BK195" s="97"/>
      <c r="BL195" s="97"/>
      <c r="BM195" s="97"/>
      <c r="BN195" s="97"/>
      <c r="BO195" s="97"/>
      <c r="BP195" s="97"/>
      <c r="BQ195" s="97"/>
      <c r="BR195" s="97"/>
      <c r="BS195" s="97"/>
      <c r="BT195" s="97"/>
      <c r="BU195" s="97"/>
      <c r="BV195" s="97"/>
      <c r="BW195" s="97"/>
      <c r="BX195" s="97"/>
      <c r="BY195" s="97"/>
      <c r="BZ195" s="97"/>
      <c r="CA195" s="97"/>
      <c r="CB195" s="97"/>
      <c r="CC195" s="97"/>
      <c r="CD195" s="97"/>
      <c r="CE195" s="97"/>
      <c r="CF195" s="97"/>
      <c r="CG195" s="97"/>
      <c r="CH195" s="97"/>
      <c r="CI195" s="97"/>
      <c r="CJ195" s="97"/>
      <c r="CK195" s="97"/>
      <c r="CL195" s="97"/>
      <c r="CM195" s="97"/>
      <c r="CN195" s="97"/>
      <c r="CO195" s="97"/>
      <c r="CP195" s="97"/>
      <c r="CQ195" s="97"/>
      <c r="CR195" s="97"/>
      <c r="CS195" s="97"/>
      <c r="CT195" s="97"/>
      <c r="CU195" s="97"/>
      <c r="CV195" s="97"/>
      <c r="CW195" s="97"/>
      <c r="CX195" s="97"/>
      <c r="CY195" s="97"/>
      <c r="CZ195" s="97"/>
      <c r="DA195" s="97"/>
      <c r="DB195" s="97"/>
      <c r="DC195" s="97"/>
      <c r="DD195" s="97"/>
      <c r="DE195" s="97"/>
      <c r="DF195" s="97"/>
      <c r="DG195" s="97"/>
      <c r="DH195" s="97"/>
      <c r="DI195" s="97"/>
      <c r="DJ195" s="97"/>
      <c r="DK195" s="97"/>
      <c r="DL195" s="97"/>
      <c r="DM195" s="97"/>
      <c r="DN195" s="97"/>
      <c r="DO195" s="97"/>
      <c r="DP195" s="97"/>
      <c r="DQ195" s="97"/>
      <c r="DR195" s="97"/>
      <c r="DS195" s="97"/>
      <c r="DT195" s="97"/>
      <c r="DU195" s="97"/>
      <c r="DV195" s="97"/>
      <c r="DW195" s="97"/>
      <c r="DX195" s="97"/>
    </row>
    <row r="196" ht="14.25" customHeight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97"/>
      <c r="AH196" s="97"/>
      <c r="AI196" s="97"/>
      <c r="AJ196" s="97"/>
      <c r="AK196" s="97"/>
      <c r="AL196" s="97"/>
      <c r="AM196" s="97"/>
      <c r="AN196" s="97"/>
      <c r="AO196" s="97"/>
      <c r="AP196" s="97"/>
      <c r="AQ196" s="97"/>
      <c r="AR196" s="97"/>
      <c r="AS196" s="97"/>
      <c r="AT196" s="97"/>
      <c r="AU196" s="97"/>
      <c r="AV196" s="97"/>
      <c r="AW196" s="97"/>
      <c r="AX196" s="97"/>
      <c r="AY196" s="97"/>
      <c r="AZ196" s="97"/>
      <c r="BA196" s="97"/>
      <c r="BB196" s="97"/>
      <c r="BC196" s="97"/>
      <c r="BD196" s="97"/>
      <c r="BE196" s="97"/>
      <c r="BF196" s="97"/>
      <c r="BG196" s="97"/>
      <c r="BH196" s="97"/>
      <c r="BI196" s="97"/>
      <c r="BJ196" s="97"/>
      <c r="BK196" s="97"/>
      <c r="BL196" s="97"/>
      <c r="BM196" s="97"/>
      <c r="BN196" s="97"/>
      <c r="BO196" s="97"/>
      <c r="BP196" s="97"/>
      <c r="BQ196" s="97"/>
      <c r="BR196" s="97"/>
      <c r="BS196" s="97"/>
      <c r="BT196" s="97"/>
      <c r="BU196" s="97"/>
      <c r="BV196" s="97"/>
      <c r="BW196" s="97"/>
      <c r="BX196" s="97"/>
      <c r="BY196" s="97"/>
      <c r="BZ196" s="97"/>
      <c r="CA196" s="97"/>
      <c r="CB196" s="97"/>
      <c r="CC196" s="97"/>
      <c r="CD196" s="97"/>
      <c r="CE196" s="97"/>
      <c r="CF196" s="97"/>
      <c r="CG196" s="97"/>
      <c r="CH196" s="97"/>
      <c r="CI196" s="97"/>
      <c r="CJ196" s="97"/>
      <c r="CK196" s="97"/>
      <c r="CL196" s="97"/>
      <c r="CM196" s="97"/>
      <c r="CN196" s="97"/>
      <c r="CO196" s="97"/>
      <c r="CP196" s="97"/>
      <c r="CQ196" s="97"/>
      <c r="CR196" s="97"/>
      <c r="CS196" s="97"/>
      <c r="CT196" s="97"/>
      <c r="CU196" s="97"/>
      <c r="CV196" s="97"/>
      <c r="CW196" s="97"/>
      <c r="CX196" s="97"/>
      <c r="CY196" s="97"/>
      <c r="CZ196" s="97"/>
      <c r="DA196" s="97"/>
      <c r="DB196" s="97"/>
      <c r="DC196" s="97"/>
      <c r="DD196" s="97"/>
      <c r="DE196" s="97"/>
      <c r="DF196" s="97"/>
      <c r="DG196" s="97"/>
      <c r="DH196" s="97"/>
      <c r="DI196" s="97"/>
      <c r="DJ196" s="97"/>
      <c r="DK196" s="97"/>
      <c r="DL196" s="97"/>
      <c r="DM196" s="97"/>
      <c r="DN196" s="97"/>
      <c r="DO196" s="97"/>
      <c r="DP196" s="97"/>
      <c r="DQ196" s="97"/>
      <c r="DR196" s="97"/>
      <c r="DS196" s="97"/>
      <c r="DT196" s="97"/>
      <c r="DU196" s="97"/>
      <c r="DV196" s="97"/>
      <c r="DW196" s="97"/>
      <c r="DX196" s="97"/>
    </row>
    <row r="197" ht="14.25" customHeight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97"/>
      <c r="AH197" s="97"/>
      <c r="AI197" s="97"/>
      <c r="AJ197" s="97"/>
      <c r="AK197" s="97"/>
      <c r="AL197" s="97"/>
      <c r="AM197" s="97"/>
      <c r="AN197" s="97"/>
      <c r="AO197" s="97"/>
      <c r="AP197" s="97"/>
      <c r="AQ197" s="97"/>
      <c r="AR197" s="97"/>
      <c r="AS197" s="97"/>
      <c r="AT197" s="97"/>
      <c r="AU197" s="97"/>
      <c r="AV197" s="97"/>
      <c r="AW197" s="97"/>
      <c r="AX197" s="97"/>
      <c r="AY197" s="97"/>
      <c r="AZ197" s="97"/>
      <c r="BA197" s="97"/>
      <c r="BB197" s="97"/>
      <c r="BC197" s="97"/>
      <c r="BD197" s="97"/>
      <c r="BE197" s="97"/>
      <c r="BF197" s="97"/>
      <c r="BG197" s="97"/>
      <c r="BH197" s="97"/>
      <c r="BI197" s="97"/>
      <c r="BJ197" s="97"/>
      <c r="BK197" s="97"/>
      <c r="BL197" s="97"/>
      <c r="BM197" s="97"/>
      <c r="BN197" s="97"/>
      <c r="BO197" s="97"/>
      <c r="BP197" s="97"/>
      <c r="BQ197" s="97"/>
      <c r="BR197" s="97"/>
      <c r="BS197" s="97"/>
      <c r="BT197" s="97"/>
      <c r="BU197" s="97"/>
      <c r="BV197" s="97"/>
      <c r="BW197" s="97"/>
      <c r="BX197" s="97"/>
      <c r="BY197" s="97"/>
      <c r="BZ197" s="97"/>
      <c r="CA197" s="97"/>
      <c r="CB197" s="97"/>
      <c r="CC197" s="97"/>
      <c r="CD197" s="97"/>
      <c r="CE197" s="97"/>
      <c r="CF197" s="97"/>
      <c r="CG197" s="97"/>
      <c r="CH197" s="97"/>
      <c r="CI197" s="97"/>
      <c r="CJ197" s="97"/>
      <c r="CK197" s="97"/>
      <c r="CL197" s="97"/>
      <c r="CM197" s="97"/>
      <c r="CN197" s="97"/>
      <c r="CO197" s="97"/>
      <c r="CP197" s="97"/>
      <c r="CQ197" s="97"/>
      <c r="CR197" s="97"/>
      <c r="CS197" s="97"/>
      <c r="CT197" s="97"/>
      <c r="CU197" s="97"/>
      <c r="CV197" s="97"/>
      <c r="CW197" s="97"/>
      <c r="CX197" s="97"/>
      <c r="CY197" s="97"/>
      <c r="CZ197" s="97"/>
      <c r="DA197" s="97"/>
      <c r="DB197" s="97"/>
      <c r="DC197" s="97"/>
      <c r="DD197" s="97"/>
      <c r="DE197" s="97"/>
      <c r="DF197" s="97"/>
      <c r="DG197" s="97"/>
      <c r="DH197" s="97"/>
      <c r="DI197" s="97"/>
      <c r="DJ197" s="97"/>
      <c r="DK197" s="97"/>
      <c r="DL197" s="97"/>
      <c r="DM197" s="97"/>
      <c r="DN197" s="97"/>
      <c r="DO197" s="97"/>
      <c r="DP197" s="97"/>
      <c r="DQ197" s="97"/>
      <c r="DR197" s="97"/>
      <c r="DS197" s="97"/>
      <c r="DT197" s="97"/>
      <c r="DU197" s="97"/>
      <c r="DV197" s="97"/>
      <c r="DW197" s="97"/>
      <c r="DX197" s="97"/>
    </row>
    <row r="198" ht="14.25" customHeight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97"/>
      <c r="AH198" s="97"/>
      <c r="AI198" s="97"/>
      <c r="AJ198" s="97"/>
      <c r="AK198" s="97"/>
      <c r="AL198" s="97"/>
      <c r="AM198" s="97"/>
      <c r="AN198" s="97"/>
      <c r="AO198" s="97"/>
      <c r="AP198" s="97"/>
      <c r="AQ198" s="97"/>
      <c r="AR198" s="97"/>
      <c r="AS198" s="97"/>
      <c r="AT198" s="97"/>
      <c r="AU198" s="97"/>
      <c r="AV198" s="97"/>
      <c r="AW198" s="97"/>
      <c r="AX198" s="97"/>
      <c r="AY198" s="97"/>
      <c r="AZ198" s="97"/>
      <c r="BA198" s="97"/>
      <c r="BB198" s="97"/>
      <c r="BC198" s="97"/>
      <c r="BD198" s="97"/>
      <c r="BE198" s="97"/>
      <c r="BF198" s="97"/>
      <c r="BG198" s="97"/>
      <c r="BH198" s="97"/>
      <c r="BI198" s="97"/>
      <c r="BJ198" s="97"/>
      <c r="BK198" s="97"/>
      <c r="BL198" s="97"/>
      <c r="BM198" s="97"/>
      <c r="BN198" s="97"/>
      <c r="BO198" s="97"/>
      <c r="BP198" s="97"/>
      <c r="BQ198" s="97"/>
      <c r="BR198" s="97"/>
      <c r="BS198" s="97"/>
      <c r="BT198" s="97"/>
      <c r="BU198" s="97"/>
      <c r="BV198" s="97"/>
      <c r="BW198" s="97"/>
      <c r="BX198" s="97"/>
      <c r="BY198" s="97"/>
      <c r="BZ198" s="97"/>
      <c r="CA198" s="97"/>
      <c r="CB198" s="97"/>
      <c r="CC198" s="97"/>
      <c r="CD198" s="97"/>
      <c r="CE198" s="97"/>
      <c r="CF198" s="97"/>
      <c r="CG198" s="97"/>
      <c r="CH198" s="97"/>
      <c r="CI198" s="97"/>
      <c r="CJ198" s="97"/>
      <c r="CK198" s="97"/>
      <c r="CL198" s="97"/>
      <c r="CM198" s="97"/>
      <c r="CN198" s="97"/>
      <c r="CO198" s="97"/>
      <c r="CP198" s="97"/>
      <c r="CQ198" s="97"/>
      <c r="CR198" s="97"/>
      <c r="CS198" s="97"/>
      <c r="CT198" s="97"/>
      <c r="CU198" s="97"/>
      <c r="CV198" s="97"/>
      <c r="CW198" s="97"/>
      <c r="CX198" s="97"/>
      <c r="CY198" s="97"/>
      <c r="CZ198" s="97"/>
      <c r="DA198" s="97"/>
      <c r="DB198" s="97"/>
      <c r="DC198" s="97"/>
      <c r="DD198" s="97"/>
      <c r="DE198" s="97"/>
      <c r="DF198" s="97"/>
      <c r="DG198" s="97"/>
      <c r="DH198" s="97"/>
      <c r="DI198" s="97"/>
      <c r="DJ198" s="97"/>
      <c r="DK198" s="97"/>
      <c r="DL198" s="97"/>
      <c r="DM198" s="97"/>
      <c r="DN198" s="97"/>
      <c r="DO198" s="97"/>
      <c r="DP198" s="97"/>
      <c r="DQ198" s="97"/>
      <c r="DR198" s="97"/>
      <c r="DS198" s="97"/>
      <c r="DT198" s="97"/>
      <c r="DU198" s="97"/>
      <c r="DV198" s="97"/>
      <c r="DW198" s="97"/>
      <c r="DX198" s="97"/>
    </row>
    <row r="199" ht="14.25" customHeight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97"/>
      <c r="AH199" s="97"/>
      <c r="AI199" s="97"/>
      <c r="AJ199" s="97"/>
      <c r="AK199" s="97"/>
      <c r="AL199" s="97"/>
      <c r="AM199" s="97"/>
      <c r="AN199" s="97"/>
      <c r="AO199" s="97"/>
      <c r="AP199" s="97"/>
      <c r="AQ199" s="97"/>
      <c r="AR199" s="97"/>
      <c r="AS199" s="97"/>
      <c r="AT199" s="97"/>
      <c r="AU199" s="97"/>
      <c r="AV199" s="97"/>
      <c r="AW199" s="97"/>
      <c r="AX199" s="97"/>
      <c r="AY199" s="97"/>
      <c r="AZ199" s="97"/>
      <c r="BA199" s="97"/>
      <c r="BB199" s="97"/>
      <c r="BC199" s="97"/>
      <c r="BD199" s="97"/>
      <c r="BE199" s="97"/>
      <c r="BF199" s="97"/>
      <c r="BG199" s="97"/>
      <c r="BH199" s="97"/>
      <c r="BI199" s="97"/>
      <c r="BJ199" s="97"/>
      <c r="BK199" s="97"/>
      <c r="BL199" s="97"/>
      <c r="BM199" s="97"/>
      <c r="BN199" s="97"/>
      <c r="BO199" s="97"/>
      <c r="BP199" s="97"/>
      <c r="BQ199" s="97"/>
      <c r="BR199" s="97"/>
      <c r="BS199" s="97"/>
      <c r="BT199" s="97"/>
      <c r="BU199" s="97"/>
      <c r="BV199" s="97"/>
      <c r="BW199" s="97"/>
      <c r="BX199" s="97"/>
      <c r="BY199" s="97"/>
      <c r="BZ199" s="97"/>
      <c r="CA199" s="97"/>
      <c r="CB199" s="97"/>
      <c r="CC199" s="97"/>
      <c r="CD199" s="97"/>
      <c r="CE199" s="97"/>
      <c r="CF199" s="97"/>
      <c r="CG199" s="97"/>
      <c r="CH199" s="97"/>
      <c r="CI199" s="97"/>
      <c r="CJ199" s="97"/>
      <c r="CK199" s="97"/>
      <c r="CL199" s="97"/>
      <c r="CM199" s="97"/>
      <c r="CN199" s="97"/>
      <c r="CO199" s="97"/>
      <c r="CP199" s="97"/>
      <c r="CQ199" s="97"/>
      <c r="CR199" s="97"/>
      <c r="CS199" s="97"/>
      <c r="CT199" s="97"/>
      <c r="CU199" s="97"/>
      <c r="CV199" s="97"/>
      <c r="CW199" s="97"/>
      <c r="CX199" s="97"/>
      <c r="CY199" s="97"/>
      <c r="CZ199" s="97"/>
      <c r="DA199" s="97"/>
      <c r="DB199" s="97"/>
      <c r="DC199" s="97"/>
      <c r="DD199" s="97"/>
      <c r="DE199" s="97"/>
      <c r="DF199" s="97"/>
      <c r="DG199" s="97"/>
      <c r="DH199" s="97"/>
      <c r="DI199" s="97"/>
      <c r="DJ199" s="97"/>
      <c r="DK199" s="97"/>
      <c r="DL199" s="97"/>
      <c r="DM199" s="97"/>
      <c r="DN199" s="97"/>
      <c r="DO199" s="97"/>
      <c r="DP199" s="97"/>
      <c r="DQ199" s="97"/>
      <c r="DR199" s="97"/>
      <c r="DS199" s="97"/>
      <c r="DT199" s="97"/>
      <c r="DU199" s="97"/>
      <c r="DV199" s="97"/>
      <c r="DW199" s="97"/>
      <c r="DX199" s="97"/>
    </row>
    <row r="200" ht="14.25" customHeight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97"/>
      <c r="AH200" s="97"/>
      <c r="AI200" s="97"/>
      <c r="AJ200" s="97"/>
      <c r="AK200" s="97"/>
      <c r="AL200" s="97"/>
      <c r="AM200" s="97"/>
      <c r="AN200" s="97"/>
      <c r="AO200" s="97"/>
      <c r="AP200" s="97"/>
      <c r="AQ200" s="97"/>
      <c r="AR200" s="97"/>
      <c r="AS200" s="97"/>
      <c r="AT200" s="97"/>
      <c r="AU200" s="97"/>
      <c r="AV200" s="97"/>
      <c r="AW200" s="97"/>
      <c r="AX200" s="97"/>
      <c r="AY200" s="97"/>
      <c r="AZ200" s="97"/>
      <c r="BA200" s="97"/>
      <c r="BB200" s="97"/>
      <c r="BC200" s="97"/>
      <c r="BD200" s="97"/>
      <c r="BE200" s="97"/>
      <c r="BF200" s="97"/>
      <c r="BG200" s="97"/>
      <c r="BH200" s="97"/>
      <c r="BI200" s="97"/>
      <c r="BJ200" s="97"/>
      <c r="BK200" s="97"/>
      <c r="BL200" s="97"/>
      <c r="BM200" s="97"/>
      <c r="BN200" s="97"/>
      <c r="BO200" s="97"/>
      <c r="BP200" s="97"/>
      <c r="BQ200" s="97"/>
      <c r="BR200" s="97"/>
      <c r="BS200" s="97"/>
      <c r="BT200" s="97"/>
      <c r="BU200" s="97"/>
      <c r="BV200" s="97"/>
      <c r="BW200" s="97"/>
      <c r="BX200" s="97"/>
      <c r="BY200" s="97"/>
      <c r="BZ200" s="97"/>
      <c r="CA200" s="97"/>
      <c r="CB200" s="97"/>
      <c r="CC200" s="97"/>
      <c r="CD200" s="97"/>
      <c r="CE200" s="97"/>
      <c r="CF200" s="97"/>
      <c r="CG200" s="97"/>
      <c r="CH200" s="97"/>
      <c r="CI200" s="97"/>
      <c r="CJ200" s="97"/>
      <c r="CK200" s="97"/>
      <c r="CL200" s="97"/>
      <c r="CM200" s="97"/>
      <c r="CN200" s="97"/>
      <c r="CO200" s="97"/>
      <c r="CP200" s="97"/>
      <c r="CQ200" s="97"/>
      <c r="CR200" s="97"/>
      <c r="CS200" s="97"/>
      <c r="CT200" s="97"/>
      <c r="CU200" s="97"/>
      <c r="CV200" s="97"/>
      <c r="CW200" s="97"/>
      <c r="CX200" s="97"/>
      <c r="CY200" s="97"/>
      <c r="CZ200" s="97"/>
      <c r="DA200" s="97"/>
      <c r="DB200" s="97"/>
      <c r="DC200" s="97"/>
      <c r="DD200" s="97"/>
      <c r="DE200" s="97"/>
      <c r="DF200" s="97"/>
      <c r="DG200" s="97"/>
      <c r="DH200" s="97"/>
      <c r="DI200" s="97"/>
      <c r="DJ200" s="97"/>
      <c r="DK200" s="97"/>
      <c r="DL200" s="97"/>
      <c r="DM200" s="97"/>
      <c r="DN200" s="97"/>
      <c r="DO200" s="97"/>
      <c r="DP200" s="97"/>
      <c r="DQ200" s="97"/>
      <c r="DR200" s="97"/>
      <c r="DS200" s="97"/>
      <c r="DT200" s="97"/>
      <c r="DU200" s="97"/>
      <c r="DV200" s="97"/>
      <c r="DW200" s="97"/>
      <c r="DX200" s="97"/>
    </row>
    <row r="201" ht="14.25" customHeight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97"/>
      <c r="AH201" s="97"/>
      <c r="AI201" s="97"/>
      <c r="AJ201" s="97"/>
      <c r="AK201" s="97"/>
      <c r="AL201" s="97"/>
      <c r="AM201" s="97"/>
      <c r="AN201" s="97"/>
      <c r="AO201" s="97"/>
      <c r="AP201" s="97"/>
      <c r="AQ201" s="97"/>
      <c r="AR201" s="97"/>
      <c r="AS201" s="97"/>
      <c r="AT201" s="97"/>
      <c r="AU201" s="97"/>
      <c r="AV201" s="97"/>
      <c r="AW201" s="97"/>
      <c r="AX201" s="97"/>
      <c r="AY201" s="97"/>
      <c r="AZ201" s="97"/>
      <c r="BA201" s="97"/>
      <c r="BB201" s="97"/>
      <c r="BC201" s="97"/>
      <c r="BD201" s="97"/>
      <c r="BE201" s="97"/>
      <c r="BF201" s="97"/>
      <c r="BG201" s="97"/>
      <c r="BH201" s="97"/>
      <c r="BI201" s="97"/>
      <c r="BJ201" s="97"/>
      <c r="BK201" s="97"/>
      <c r="BL201" s="97"/>
      <c r="BM201" s="97"/>
      <c r="BN201" s="97"/>
      <c r="BO201" s="97"/>
      <c r="BP201" s="97"/>
      <c r="BQ201" s="97"/>
      <c r="BR201" s="97"/>
      <c r="BS201" s="97"/>
      <c r="BT201" s="97"/>
      <c r="BU201" s="97"/>
      <c r="BV201" s="97"/>
      <c r="BW201" s="97"/>
      <c r="BX201" s="97"/>
      <c r="BY201" s="97"/>
      <c r="BZ201" s="97"/>
      <c r="CA201" s="97"/>
      <c r="CB201" s="97"/>
      <c r="CC201" s="97"/>
      <c r="CD201" s="97"/>
      <c r="CE201" s="97"/>
      <c r="CF201" s="97"/>
      <c r="CG201" s="97"/>
      <c r="CH201" s="97"/>
      <c r="CI201" s="97"/>
      <c r="CJ201" s="97"/>
      <c r="CK201" s="97"/>
      <c r="CL201" s="97"/>
      <c r="CM201" s="97"/>
      <c r="CN201" s="97"/>
      <c r="CO201" s="97"/>
      <c r="CP201" s="97"/>
      <c r="CQ201" s="97"/>
      <c r="CR201" s="97"/>
      <c r="CS201" s="97"/>
      <c r="CT201" s="97"/>
      <c r="CU201" s="97"/>
      <c r="CV201" s="97"/>
      <c r="CW201" s="97"/>
      <c r="CX201" s="97"/>
      <c r="CY201" s="97"/>
      <c r="CZ201" s="97"/>
      <c r="DA201" s="97"/>
      <c r="DB201" s="97"/>
      <c r="DC201" s="97"/>
      <c r="DD201" s="97"/>
      <c r="DE201" s="97"/>
      <c r="DF201" s="97"/>
      <c r="DG201" s="97"/>
      <c r="DH201" s="97"/>
      <c r="DI201" s="97"/>
      <c r="DJ201" s="97"/>
      <c r="DK201" s="97"/>
      <c r="DL201" s="97"/>
      <c r="DM201" s="97"/>
      <c r="DN201" s="97"/>
      <c r="DO201" s="97"/>
      <c r="DP201" s="97"/>
      <c r="DQ201" s="97"/>
      <c r="DR201" s="97"/>
      <c r="DS201" s="97"/>
      <c r="DT201" s="97"/>
      <c r="DU201" s="97"/>
      <c r="DV201" s="97"/>
      <c r="DW201" s="97"/>
      <c r="DX201" s="97"/>
    </row>
    <row r="202" ht="14.25" customHeight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97"/>
      <c r="AH202" s="97"/>
      <c r="AI202" s="97"/>
      <c r="AJ202" s="97"/>
      <c r="AK202" s="97"/>
      <c r="AL202" s="97"/>
      <c r="AM202" s="97"/>
      <c r="AN202" s="97"/>
      <c r="AO202" s="97"/>
      <c r="AP202" s="97"/>
      <c r="AQ202" s="97"/>
      <c r="AR202" s="97"/>
      <c r="AS202" s="97"/>
      <c r="AT202" s="97"/>
      <c r="AU202" s="97"/>
      <c r="AV202" s="97"/>
      <c r="AW202" s="97"/>
      <c r="AX202" s="97"/>
      <c r="AY202" s="97"/>
      <c r="AZ202" s="97"/>
      <c r="BA202" s="97"/>
      <c r="BB202" s="97"/>
      <c r="BC202" s="97"/>
      <c r="BD202" s="97"/>
      <c r="BE202" s="97"/>
      <c r="BF202" s="97"/>
      <c r="BG202" s="97"/>
      <c r="BH202" s="97"/>
      <c r="BI202" s="97"/>
      <c r="BJ202" s="97"/>
      <c r="BK202" s="97"/>
      <c r="BL202" s="97"/>
      <c r="BM202" s="97"/>
      <c r="BN202" s="97"/>
      <c r="BO202" s="97"/>
      <c r="BP202" s="97"/>
      <c r="BQ202" s="97"/>
      <c r="BR202" s="97"/>
      <c r="BS202" s="97"/>
      <c r="BT202" s="97"/>
      <c r="BU202" s="97"/>
      <c r="BV202" s="97"/>
      <c r="BW202" s="97"/>
      <c r="BX202" s="97"/>
      <c r="BY202" s="97"/>
      <c r="BZ202" s="97"/>
      <c r="CA202" s="97"/>
      <c r="CB202" s="97"/>
      <c r="CC202" s="97"/>
      <c r="CD202" s="97"/>
      <c r="CE202" s="97"/>
      <c r="CF202" s="97"/>
      <c r="CG202" s="97"/>
      <c r="CH202" s="97"/>
      <c r="CI202" s="97"/>
      <c r="CJ202" s="97"/>
      <c r="CK202" s="97"/>
      <c r="CL202" s="97"/>
      <c r="CM202" s="97"/>
      <c r="CN202" s="97"/>
      <c r="CO202" s="97"/>
      <c r="CP202" s="97"/>
      <c r="CQ202" s="97"/>
      <c r="CR202" s="97"/>
      <c r="CS202" s="97"/>
      <c r="CT202" s="97"/>
      <c r="CU202" s="97"/>
      <c r="CV202" s="97"/>
      <c r="CW202" s="97"/>
      <c r="CX202" s="97"/>
      <c r="CY202" s="97"/>
      <c r="CZ202" s="97"/>
      <c r="DA202" s="97"/>
      <c r="DB202" s="97"/>
      <c r="DC202" s="97"/>
      <c r="DD202" s="97"/>
      <c r="DE202" s="97"/>
      <c r="DF202" s="97"/>
      <c r="DG202" s="97"/>
      <c r="DH202" s="97"/>
      <c r="DI202" s="97"/>
      <c r="DJ202" s="97"/>
      <c r="DK202" s="97"/>
      <c r="DL202" s="97"/>
      <c r="DM202" s="97"/>
      <c r="DN202" s="97"/>
      <c r="DO202" s="97"/>
      <c r="DP202" s="97"/>
      <c r="DQ202" s="97"/>
      <c r="DR202" s="97"/>
      <c r="DS202" s="97"/>
      <c r="DT202" s="97"/>
      <c r="DU202" s="97"/>
      <c r="DV202" s="97"/>
      <c r="DW202" s="97"/>
      <c r="DX202" s="97"/>
    </row>
    <row r="203" ht="14.25" customHeight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97"/>
      <c r="AH203" s="97"/>
      <c r="AI203" s="97"/>
      <c r="AJ203" s="97"/>
      <c r="AK203" s="97"/>
      <c r="AL203" s="97"/>
      <c r="AM203" s="97"/>
      <c r="AN203" s="97"/>
      <c r="AO203" s="97"/>
      <c r="AP203" s="97"/>
      <c r="AQ203" s="97"/>
      <c r="AR203" s="97"/>
      <c r="AS203" s="97"/>
      <c r="AT203" s="97"/>
      <c r="AU203" s="97"/>
      <c r="AV203" s="97"/>
      <c r="AW203" s="97"/>
      <c r="AX203" s="97"/>
      <c r="AY203" s="97"/>
      <c r="AZ203" s="97"/>
      <c r="BA203" s="97"/>
      <c r="BB203" s="97"/>
      <c r="BC203" s="97"/>
      <c r="BD203" s="97"/>
      <c r="BE203" s="97"/>
      <c r="BF203" s="97"/>
      <c r="BG203" s="97"/>
      <c r="BH203" s="97"/>
      <c r="BI203" s="97"/>
      <c r="BJ203" s="97"/>
      <c r="BK203" s="97"/>
      <c r="BL203" s="97"/>
      <c r="BM203" s="97"/>
      <c r="BN203" s="97"/>
      <c r="BO203" s="97"/>
      <c r="BP203" s="97"/>
      <c r="BQ203" s="97"/>
      <c r="BR203" s="97"/>
      <c r="BS203" s="97"/>
      <c r="BT203" s="97"/>
      <c r="BU203" s="97"/>
      <c r="BV203" s="97"/>
      <c r="BW203" s="97"/>
      <c r="BX203" s="97"/>
      <c r="BY203" s="97"/>
      <c r="BZ203" s="97"/>
      <c r="CA203" s="97"/>
      <c r="CB203" s="97"/>
      <c r="CC203" s="97"/>
      <c r="CD203" s="97"/>
      <c r="CE203" s="97"/>
      <c r="CF203" s="97"/>
      <c r="CG203" s="97"/>
      <c r="CH203" s="97"/>
      <c r="CI203" s="97"/>
      <c r="CJ203" s="97"/>
      <c r="CK203" s="97"/>
      <c r="CL203" s="97"/>
      <c r="CM203" s="97"/>
      <c r="CN203" s="97"/>
      <c r="CO203" s="97"/>
      <c r="CP203" s="97"/>
      <c r="CQ203" s="97"/>
      <c r="CR203" s="97"/>
      <c r="CS203" s="97"/>
      <c r="CT203" s="97"/>
      <c r="CU203" s="97"/>
      <c r="CV203" s="97"/>
      <c r="CW203" s="97"/>
      <c r="CX203" s="97"/>
      <c r="CY203" s="97"/>
      <c r="CZ203" s="97"/>
      <c r="DA203" s="97"/>
      <c r="DB203" s="97"/>
      <c r="DC203" s="97"/>
      <c r="DD203" s="97"/>
      <c r="DE203" s="97"/>
      <c r="DF203" s="97"/>
      <c r="DG203" s="97"/>
      <c r="DH203" s="97"/>
      <c r="DI203" s="97"/>
      <c r="DJ203" s="97"/>
      <c r="DK203" s="97"/>
      <c r="DL203" s="97"/>
      <c r="DM203" s="97"/>
      <c r="DN203" s="97"/>
      <c r="DO203" s="97"/>
      <c r="DP203" s="97"/>
      <c r="DQ203" s="97"/>
      <c r="DR203" s="97"/>
      <c r="DS203" s="97"/>
      <c r="DT203" s="97"/>
      <c r="DU203" s="97"/>
      <c r="DV203" s="97"/>
      <c r="DW203" s="97"/>
      <c r="DX203" s="97"/>
    </row>
    <row r="204" ht="14.25" customHeight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97"/>
      <c r="AH204" s="97"/>
      <c r="AI204" s="97"/>
      <c r="AJ204" s="97"/>
      <c r="AK204" s="97"/>
      <c r="AL204" s="97"/>
      <c r="AM204" s="97"/>
      <c r="AN204" s="97"/>
      <c r="AO204" s="97"/>
      <c r="AP204" s="97"/>
      <c r="AQ204" s="97"/>
      <c r="AR204" s="97"/>
      <c r="AS204" s="97"/>
      <c r="AT204" s="97"/>
      <c r="AU204" s="97"/>
      <c r="AV204" s="97"/>
      <c r="AW204" s="97"/>
      <c r="AX204" s="97"/>
      <c r="AY204" s="97"/>
      <c r="AZ204" s="97"/>
      <c r="BA204" s="97"/>
      <c r="BB204" s="97"/>
      <c r="BC204" s="97"/>
      <c r="BD204" s="97"/>
      <c r="BE204" s="97"/>
      <c r="BF204" s="97"/>
      <c r="BG204" s="97"/>
      <c r="BH204" s="97"/>
      <c r="BI204" s="97"/>
      <c r="BJ204" s="97"/>
      <c r="BK204" s="97"/>
      <c r="BL204" s="97"/>
      <c r="BM204" s="97"/>
      <c r="BN204" s="97"/>
      <c r="BO204" s="97"/>
      <c r="BP204" s="97"/>
      <c r="BQ204" s="97"/>
      <c r="BR204" s="97"/>
      <c r="BS204" s="97"/>
      <c r="BT204" s="97"/>
      <c r="BU204" s="97"/>
      <c r="BV204" s="97"/>
      <c r="BW204" s="97"/>
      <c r="BX204" s="97"/>
      <c r="BY204" s="97"/>
      <c r="BZ204" s="97"/>
      <c r="CA204" s="97"/>
      <c r="CB204" s="97"/>
      <c r="CC204" s="97"/>
      <c r="CD204" s="97"/>
      <c r="CE204" s="97"/>
      <c r="CF204" s="97"/>
      <c r="CG204" s="97"/>
      <c r="CH204" s="97"/>
      <c r="CI204" s="97"/>
      <c r="CJ204" s="97"/>
      <c r="CK204" s="97"/>
      <c r="CL204" s="97"/>
      <c r="CM204" s="97"/>
      <c r="CN204" s="97"/>
      <c r="CO204" s="97"/>
      <c r="CP204" s="97"/>
      <c r="CQ204" s="97"/>
      <c r="CR204" s="97"/>
      <c r="CS204" s="97"/>
      <c r="CT204" s="97"/>
      <c r="CU204" s="97"/>
      <c r="CV204" s="97"/>
      <c r="CW204" s="97"/>
      <c r="CX204" s="97"/>
      <c r="CY204" s="97"/>
      <c r="CZ204" s="97"/>
      <c r="DA204" s="97"/>
      <c r="DB204" s="97"/>
      <c r="DC204" s="97"/>
      <c r="DD204" s="97"/>
      <c r="DE204" s="97"/>
      <c r="DF204" s="97"/>
      <c r="DG204" s="97"/>
      <c r="DH204" s="97"/>
      <c r="DI204" s="97"/>
      <c r="DJ204" s="97"/>
      <c r="DK204" s="97"/>
      <c r="DL204" s="97"/>
      <c r="DM204" s="97"/>
      <c r="DN204" s="97"/>
      <c r="DO204" s="97"/>
      <c r="DP204" s="97"/>
      <c r="DQ204" s="97"/>
      <c r="DR204" s="97"/>
      <c r="DS204" s="97"/>
      <c r="DT204" s="97"/>
      <c r="DU204" s="97"/>
      <c r="DV204" s="97"/>
      <c r="DW204" s="97"/>
      <c r="DX204" s="97"/>
    </row>
    <row r="205" ht="14.25" customHeight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97"/>
      <c r="AH205" s="97"/>
      <c r="AI205" s="97"/>
      <c r="AJ205" s="97"/>
      <c r="AK205" s="97"/>
      <c r="AL205" s="97"/>
      <c r="AM205" s="97"/>
      <c r="AN205" s="97"/>
      <c r="AO205" s="97"/>
      <c r="AP205" s="97"/>
      <c r="AQ205" s="97"/>
      <c r="AR205" s="97"/>
      <c r="AS205" s="97"/>
      <c r="AT205" s="97"/>
      <c r="AU205" s="97"/>
      <c r="AV205" s="97"/>
      <c r="AW205" s="97"/>
      <c r="AX205" s="97"/>
      <c r="AY205" s="97"/>
      <c r="AZ205" s="97"/>
      <c r="BA205" s="97"/>
      <c r="BB205" s="97"/>
      <c r="BC205" s="97"/>
      <c r="BD205" s="97"/>
      <c r="BE205" s="97"/>
      <c r="BF205" s="97"/>
      <c r="BG205" s="97"/>
      <c r="BH205" s="97"/>
      <c r="BI205" s="97"/>
      <c r="BJ205" s="97"/>
      <c r="BK205" s="97"/>
      <c r="BL205" s="97"/>
      <c r="BM205" s="97"/>
      <c r="BN205" s="97"/>
      <c r="BO205" s="97"/>
      <c r="BP205" s="97"/>
      <c r="BQ205" s="97"/>
      <c r="BR205" s="97"/>
      <c r="BS205" s="97"/>
      <c r="BT205" s="97"/>
      <c r="BU205" s="97"/>
      <c r="BV205" s="97"/>
      <c r="BW205" s="97"/>
      <c r="BX205" s="97"/>
      <c r="BY205" s="97"/>
      <c r="BZ205" s="97"/>
      <c r="CA205" s="97"/>
      <c r="CB205" s="97"/>
      <c r="CC205" s="97"/>
      <c r="CD205" s="97"/>
      <c r="CE205" s="97"/>
      <c r="CF205" s="97"/>
      <c r="CG205" s="97"/>
      <c r="CH205" s="97"/>
      <c r="CI205" s="97"/>
      <c r="CJ205" s="97"/>
      <c r="CK205" s="97"/>
      <c r="CL205" s="97"/>
      <c r="CM205" s="97"/>
      <c r="CN205" s="97"/>
      <c r="CO205" s="97"/>
      <c r="CP205" s="97"/>
      <c r="CQ205" s="97"/>
      <c r="CR205" s="97"/>
      <c r="CS205" s="97"/>
      <c r="CT205" s="97"/>
      <c r="CU205" s="97"/>
      <c r="CV205" s="97"/>
      <c r="CW205" s="97"/>
      <c r="CX205" s="97"/>
      <c r="CY205" s="97"/>
      <c r="CZ205" s="97"/>
      <c r="DA205" s="97"/>
      <c r="DB205" s="97"/>
      <c r="DC205" s="97"/>
      <c r="DD205" s="97"/>
      <c r="DE205" s="97"/>
      <c r="DF205" s="97"/>
      <c r="DG205" s="97"/>
      <c r="DH205" s="97"/>
      <c r="DI205" s="97"/>
      <c r="DJ205" s="97"/>
      <c r="DK205" s="97"/>
      <c r="DL205" s="97"/>
      <c r="DM205" s="97"/>
      <c r="DN205" s="97"/>
      <c r="DO205" s="97"/>
      <c r="DP205" s="97"/>
      <c r="DQ205" s="97"/>
      <c r="DR205" s="97"/>
      <c r="DS205" s="97"/>
      <c r="DT205" s="97"/>
      <c r="DU205" s="97"/>
      <c r="DV205" s="97"/>
      <c r="DW205" s="97"/>
      <c r="DX205" s="97"/>
    </row>
    <row r="206" ht="14.25" customHeight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97"/>
      <c r="AH206" s="97"/>
      <c r="AI206" s="97"/>
      <c r="AJ206" s="97"/>
      <c r="AK206" s="97"/>
      <c r="AL206" s="97"/>
      <c r="AM206" s="97"/>
      <c r="AN206" s="97"/>
      <c r="AO206" s="97"/>
      <c r="AP206" s="97"/>
      <c r="AQ206" s="97"/>
      <c r="AR206" s="97"/>
      <c r="AS206" s="97"/>
      <c r="AT206" s="97"/>
      <c r="AU206" s="97"/>
      <c r="AV206" s="97"/>
      <c r="AW206" s="97"/>
      <c r="AX206" s="97"/>
      <c r="AY206" s="97"/>
      <c r="AZ206" s="97"/>
      <c r="BA206" s="97"/>
      <c r="BB206" s="97"/>
      <c r="BC206" s="97"/>
      <c r="BD206" s="97"/>
      <c r="BE206" s="97"/>
      <c r="BF206" s="97"/>
      <c r="BG206" s="97"/>
      <c r="BH206" s="97"/>
      <c r="BI206" s="97"/>
      <c r="BJ206" s="97"/>
      <c r="BK206" s="97"/>
      <c r="BL206" s="97"/>
      <c r="BM206" s="97"/>
      <c r="BN206" s="97"/>
      <c r="BO206" s="97"/>
      <c r="BP206" s="97"/>
      <c r="BQ206" s="97"/>
      <c r="BR206" s="97"/>
      <c r="BS206" s="97"/>
      <c r="BT206" s="97"/>
      <c r="BU206" s="97"/>
      <c r="BV206" s="97"/>
      <c r="BW206" s="97"/>
      <c r="BX206" s="97"/>
      <c r="BY206" s="97"/>
      <c r="BZ206" s="97"/>
      <c r="CA206" s="97"/>
      <c r="CB206" s="97"/>
      <c r="CC206" s="97"/>
      <c r="CD206" s="97"/>
      <c r="CE206" s="97"/>
      <c r="CF206" s="97"/>
      <c r="CG206" s="97"/>
      <c r="CH206" s="97"/>
      <c r="CI206" s="97"/>
      <c r="CJ206" s="97"/>
      <c r="CK206" s="97"/>
      <c r="CL206" s="97"/>
      <c r="CM206" s="97"/>
      <c r="CN206" s="97"/>
      <c r="CO206" s="97"/>
      <c r="CP206" s="97"/>
      <c r="CQ206" s="97"/>
      <c r="CR206" s="97"/>
      <c r="CS206" s="97"/>
      <c r="CT206" s="97"/>
      <c r="CU206" s="97"/>
      <c r="CV206" s="97"/>
      <c r="CW206" s="97"/>
      <c r="CX206" s="97"/>
      <c r="CY206" s="97"/>
      <c r="CZ206" s="97"/>
      <c r="DA206" s="97"/>
      <c r="DB206" s="97"/>
      <c r="DC206" s="97"/>
      <c r="DD206" s="97"/>
      <c r="DE206" s="97"/>
      <c r="DF206" s="97"/>
      <c r="DG206" s="97"/>
      <c r="DH206" s="97"/>
      <c r="DI206" s="97"/>
      <c r="DJ206" s="97"/>
      <c r="DK206" s="97"/>
      <c r="DL206" s="97"/>
      <c r="DM206" s="97"/>
      <c r="DN206" s="97"/>
      <c r="DO206" s="97"/>
      <c r="DP206" s="97"/>
      <c r="DQ206" s="97"/>
      <c r="DR206" s="97"/>
      <c r="DS206" s="97"/>
      <c r="DT206" s="97"/>
      <c r="DU206" s="97"/>
      <c r="DV206" s="97"/>
      <c r="DW206" s="97"/>
      <c r="DX206" s="97"/>
    </row>
    <row r="207" ht="14.25" customHeight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7"/>
      <c r="AI207" s="97"/>
      <c r="AJ207" s="97"/>
      <c r="AK207" s="97"/>
      <c r="AL207" s="97"/>
      <c r="AM207" s="97"/>
      <c r="AN207" s="97"/>
      <c r="AO207" s="97"/>
      <c r="AP207" s="97"/>
      <c r="AQ207" s="97"/>
      <c r="AR207" s="97"/>
      <c r="AS207" s="97"/>
      <c r="AT207" s="97"/>
      <c r="AU207" s="97"/>
      <c r="AV207" s="97"/>
      <c r="AW207" s="97"/>
      <c r="AX207" s="97"/>
      <c r="AY207" s="97"/>
      <c r="AZ207" s="97"/>
      <c r="BA207" s="97"/>
      <c r="BB207" s="97"/>
      <c r="BC207" s="97"/>
      <c r="BD207" s="97"/>
      <c r="BE207" s="97"/>
      <c r="BF207" s="97"/>
      <c r="BG207" s="97"/>
      <c r="BH207" s="97"/>
      <c r="BI207" s="97"/>
      <c r="BJ207" s="97"/>
      <c r="BK207" s="97"/>
      <c r="BL207" s="97"/>
      <c r="BM207" s="97"/>
      <c r="BN207" s="97"/>
      <c r="BO207" s="97"/>
      <c r="BP207" s="97"/>
      <c r="BQ207" s="97"/>
      <c r="BR207" s="97"/>
      <c r="BS207" s="97"/>
      <c r="BT207" s="97"/>
      <c r="BU207" s="97"/>
      <c r="BV207" s="97"/>
      <c r="BW207" s="97"/>
      <c r="BX207" s="97"/>
      <c r="BY207" s="97"/>
      <c r="BZ207" s="97"/>
      <c r="CA207" s="97"/>
      <c r="CB207" s="97"/>
      <c r="CC207" s="97"/>
      <c r="CD207" s="97"/>
      <c r="CE207" s="97"/>
      <c r="CF207" s="97"/>
      <c r="CG207" s="97"/>
      <c r="CH207" s="97"/>
      <c r="CI207" s="97"/>
      <c r="CJ207" s="97"/>
      <c r="CK207" s="97"/>
      <c r="CL207" s="97"/>
      <c r="CM207" s="97"/>
      <c r="CN207" s="97"/>
      <c r="CO207" s="97"/>
      <c r="CP207" s="97"/>
      <c r="CQ207" s="97"/>
      <c r="CR207" s="97"/>
      <c r="CS207" s="97"/>
      <c r="CT207" s="97"/>
      <c r="CU207" s="97"/>
      <c r="CV207" s="97"/>
      <c r="CW207" s="97"/>
      <c r="CX207" s="97"/>
      <c r="CY207" s="97"/>
      <c r="CZ207" s="97"/>
      <c r="DA207" s="97"/>
      <c r="DB207" s="97"/>
      <c r="DC207" s="97"/>
      <c r="DD207" s="97"/>
      <c r="DE207" s="97"/>
      <c r="DF207" s="97"/>
      <c r="DG207" s="97"/>
      <c r="DH207" s="97"/>
      <c r="DI207" s="97"/>
      <c r="DJ207" s="97"/>
      <c r="DK207" s="97"/>
      <c r="DL207" s="97"/>
      <c r="DM207" s="97"/>
      <c r="DN207" s="97"/>
      <c r="DO207" s="97"/>
      <c r="DP207" s="97"/>
      <c r="DQ207" s="97"/>
      <c r="DR207" s="97"/>
      <c r="DS207" s="97"/>
      <c r="DT207" s="97"/>
      <c r="DU207" s="97"/>
      <c r="DV207" s="97"/>
      <c r="DW207" s="97"/>
      <c r="DX207" s="97"/>
    </row>
    <row r="208" ht="14.25" customHeight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97"/>
      <c r="AH208" s="97"/>
      <c r="AI208" s="97"/>
      <c r="AJ208" s="97"/>
      <c r="AK208" s="97"/>
      <c r="AL208" s="97"/>
      <c r="AM208" s="97"/>
      <c r="AN208" s="97"/>
      <c r="AO208" s="97"/>
      <c r="AP208" s="97"/>
      <c r="AQ208" s="97"/>
      <c r="AR208" s="97"/>
      <c r="AS208" s="97"/>
      <c r="AT208" s="97"/>
      <c r="AU208" s="97"/>
      <c r="AV208" s="97"/>
      <c r="AW208" s="97"/>
      <c r="AX208" s="97"/>
      <c r="AY208" s="97"/>
      <c r="AZ208" s="97"/>
      <c r="BA208" s="97"/>
      <c r="BB208" s="97"/>
      <c r="BC208" s="97"/>
      <c r="BD208" s="97"/>
      <c r="BE208" s="97"/>
      <c r="BF208" s="97"/>
      <c r="BG208" s="97"/>
      <c r="BH208" s="97"/>
      <c r="BI208" s="97"/>
      <c r="BJ208" s="97"/>
      <c r="BK208" s="97"/>
      <c r="BL208" s="97"/>
      <c r="BM208" s="97"/>
      <c r="BN208" s="97"/>
      <c r="BO208" s="97"/>
      <c r="BP208" s="97"/>
      <c r="BQ208" s="97"/>
      <c r="BR208" s="97"/>
      <c r="BS208" s="97"/>
      <c r="BT208" s="97"/>
      <c r="BU208" s="97"/>
      <c r="BV208" s="97"/>
      <c r="BW208" s="97"/>
      <c r="BX208" s="97"/>
      <c r="BY208" s="97"/>
      <c r="BZ208" s="97"/>
      <c r="CA208" s="97"/>
      <c r="CB208" s="97"/>
      <c r="CC208" s="97"/>
      <c r="CD208" s="97"/>
      <c r="CE208" s="97"/>
      <c r="CF208" s="97"/>
      <c r="CG208" s="97"/>
      <c r="CH208" s="97"/>
      <c r="CI208" s="97"/>
      <c r="CJ208" s="97"/>
      <c r="CK208" s="97"/>
      <c r="CL208" s="97"/>
      <c r="CM208" s="97"/>
      <c r="CN208" s="97"/>
      <c r="CO208" s="97"/>
      <c r="CP208" s="97"/>
      <c r="CQ208" s="97"/>
      <c r="CR208" s="97"/>
      <c r="CS208" s="97"/>
      <c r="CT208" s="97"/>
      <c r="CU208" s="97"/>
      <c r="CV208" s="97"/>
      <c r="CW208" s="97"/>
      <c r="CX208" s="97"/>
      <c r="CY208" s="97"/>
      <c r="CZ208" s="97"/>
      <c r="DA208" s="97"/>
      <c r="DB208" s="97"/>
      <c r="DC208" s="97"/>
      <c r="DD208" s="97"/>
      <c r="DE208" s="97"/>
      <c r="DF208" s="97"/>
      <c r="DG208" s="97"/>
      <c r="DH208" s="97"/>
      <c r="DI208" s="97"/>
      <c r="DJ208" s="97"/>
      <c r="DK208" s="97"/>
      <c r="DL208" s="97"/>
      <c r="DM208" s="97"/>
      <c r="DN208" s="97"/>
      <c r="DO208" s="97"/>
      <c r="DP208" s="97"/>
      <c r="DQ208" s="97"/>
      <c r="DR208" s="97"/>
      <c r="DS208" s="97"/>
      <c r="DT208" s="97"/>
      <c r="DU208" s="97"/>
      <c r="DV208" s="97"/>
      <c r="DW208" s="97"/>
      <c r="DX208" s="97"/>
    </row>
    <row r="209" ht="14.25" customHeight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97"/>
      <c r="AH209" s="97"/>
      <c r="AI209" s="97"/>
      <c r="AJ209" s="97"/>
      <c r="AK209" s="97"/>
      <c r="AL209" s="97"/>
      <c r="AM209" s="97"/>
      <c r="AN209" s="97"/>
      <c r="AO209" s="97"/>
      <c r="AP209" s="97"/>
      <c r="AQ209" s="97"/>
      <c r="AR209" s="97"/>
      <c r="AS209" s="97"/>
      <c r="AT209" s="97"/>
      <c r="AU209" s="97"/>
      <c r="AV209" s="97"/>
      <c r="AW209" s="97"/>
      <c r="AX209" s="97"/>
      <c r="AY209" s="97"/>
      <c r="AZ209" s="97"/>
      <c r="BA209" s="97"/>
      <c r="BB209" s="97"/>
      <c r="BC209" s="97"/>
      <c r="BD209" s="97"/>
      <c r="BE209" s="97"/>
      <c r="BF209" s="97"/>
      <c r="BG209" s="97"/>
      <c r="BH209" s="97"/>
      <c r="BI209" s="97"/>
      <c r="BJ209" s="97"/>
      <c r="BK209" s="97"/>
      <c r="BL209" s="97"/>
      <c r="BM209" s="97"/>
      <c r="BN209" s="97"/>
      <c r="BO209" s="97"/>
      <c r="BP209" s="97"/>
      <c r="BQ209" s="97"/>
      <c r="BR209" s="97"/>
      <c r="BS209" s="97"/>
      <c r="BT209" s="97"/>
      <c r="BU209" s="97"/>
      <c r="BV209" s="97"/>
      <c r="BW209" s="97"/>
      <c r="BX209" s="97"/>
      <c r="BY209" s="97"/>
      <c r="BZ209" s="97"/>
      <c r="CA209" s="97"/>
      <c r="CB209" s="97"/>
      <c r="CC209" s="97"/>
      <c r="CD209" s="97"/>
      <c r="CE209" s="97"/>
      <c r="CF209" s="97"/>
      <c r="CG209" s="97"/>
      <c r="CH209" s="97"/>
      <c r="CI209" s="97"/>
      <c r="CJ209" s="97"/>
      <c r="CK209" s="97"/>
      <c r="CL209" s="97"/>
      <c r="CM209" s="97"/>
      <c r="CN209" s="97"/>
      <c r="CO209" s="97"/>
      <c r="CP209" s="97"/>
      <c r="CQ209" s="97"/>
      <c r="CR209" s="97"/>
      <c r="CS209" s="97"/>
      <c r="CT209" s="97"/>
      <c r="CU209" s="97"/>
      <c r="CV209" s="97"/>
      <c r="CW209" s="97"/>
      <c r="CX209" s="97"/>
      <c r="CY209" s="97"/>
      <c r="CZ209" s="97"/>
      <c r="DA209" s="97"/>
      <c r="DB209" s="97"/>
      <c r="DC209" s="97"/>
      <c r="DD209" s="97"/>
      <c r="DE209" s="97"/>
      <c r="DF209" s="97"/>
      <c r="DG209" s="97"/>
      <c r="DH209" s="97"/>
      <c r="DI209" s="97"/>
      <c r="DJ209" s="97"/>
      <c r="DK209" s="97"/>
      <c r="DL209" s="97"/>
      <c r="DM209" s="97"/>
      <c r="DN209" s="97"/>
      <c r="DO209" s="97"/>
      <c r="DP209" s="97"/>
      <c r="DQ209" s="97"/>
      <c r="DR209" s="97"/>
      <c r="DS209" s="97"/>
      <c r="DT209" s="97"/>
      <c r="DU209" s="97"/>
      <c r="DV209" s="97"/>
      <c r="DW209" s="97"/>
      <c r="DX209" s="97"/>
    </row>
    <row r="210" ht="14.25" customHeight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97"/>
      <c r="AH210" s="97"/>
      <c r="AI210" s="97"/>
      <c r="AJ210" s="97"/>
      <c r="AK210" s="97"/>
      <c r="AL210" s="97"/>
      <c r="AM210" s="97"/>
      <c r="AN210" s="97"/>
      <c r="AO210" s="97"/>
      <c r="AP210" s="97"/>
      <c r="AQ210" s="97"/>
      <c r="AR210" s="97"/>
      <c r="AS210" s="97"/>
      <c r="AT210" s="97"/>
      <c r="AU210" s="97"/>
      <c r="AV210" s="97"/>
      <c r="AW210" s="97"/>
      <c r="AX210" s="97"/>
      <c r="AY210" s="97"/>
      <c r="AZ210" s="97"/>
      <c r="BA210" s="97"/>
      <c r="BB210" s="97"/>
      <c r="BC210" s="97"/>
      <c r="BD210" s="97"/>
      <c r="BE210" s="97"/>
      <c r="BF210" s="97"/>
      <c r="BG210" s="97"/>
      <c r="BH210" s="97"/>
      <c r="BI210" s="97"/>
      <c r="BJ210" s="97"/>
      <c r="BK210" s="97"/>
      <c r="BL210" s="97"/>
      <c r="BM210" s="97"/>
      <c r="BN210" s="97"/>
      <c r="BO210" s="97"/>
      <c r="BP210" s="97"/>
      <c r="BQ210" s="97"/>
      <c r="BR210" s="97"/>
      <c r="BS210" s="97"/>
      <c r="BT210" s="97"/>
      <c r="BU210" s="97"/>
      <c r="BV210" s="97"/>
      <c r="BW210" s="97"/>
      <c r="BX210" s="97"/>
      <c r="BY210" s="97"/>
      <c r="BZ210" s="97"/>
      <c r="CA210" s="97"/>
      <c r="CB210" s="97"/>
      <c r="CC210" s="97"/>
      <c r="CD210" s="97"/>
      <c r="CE210" s="97"/>
      <c r="CF210" s="97"/>
      <c r="CG210" s="97"/>
      <c r="CH210" s="97"/>
      <c r="CI210" s="97"/>
      <c r="CJ210" s="97"/>
      <c r="CK210" s="97"/>
      <c r="CL210" s="97"/>
      <c r="CM210" s="97"/>
      <c r="CN210" s="97"/>
      <c r="CO210" s="97"/>
      <c r="CP210" s="97"/>
      <c r="CQ210" s="97"/>
      <c r="CR210" s="97"/>
      <c r="CS210" s="97"/>
      <c r="CT210" s="97"/>
      <c r="CU210" s="97"/>
      <c r="CV210" s="97"/>
      <c r="CW210" s="97"/>
      <c r="CX210" s="97"/>
      <c r="CY210" s="97"/>
      <c r="CZ210" s="97"/>
      <c r="DA210" s="97"/>
      <c r="DB210" s="97"/>
      <c r="DC210" s="97"/>
      <c r="DD210" s="97"/>
      <c r="DE210" s="97"/>
      <c r="DF210" s="97"/>
      <c r="DG210" s="97"/>
      <c r="DH210" s="97"/>
      <c r="DI210" s="97"/>
      <c r="DJ210" s="97"/>
      <c r="DK210" s="97"/>
      <c r="DL210" s="97"/>
      <c r="DM210" s="97"/>
      <c r="DN210" s="97"/>
      <c r="DO210" s="97"/>
      <c r="DP210" s="97"/>
      <c r="DQ210" s="97"/>
      <c r="DR210" s="97"/>
      <c r="DS210" s="97"/>
      <c r="DT210" s="97"/>
      <c r="DU210" s="97"/>
      <c r="DV210" s="97"/>
      <c r="DW210" s="97"/>
      <c r="DX210" s="97"/>
    </row>
    <row r="211" ht="14.25" customHeight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/>
      <c r="AB211" s="97"/>
      <c r="AC211" s="97"/>
      <c r="AD211" s="97"/>
      <c r="AE211" s="97"/>
      <c r="AF211" s="97"/>
      <c r="AG211" s="97"/>
      <c r="AH211" s="97"/>
      <c r="AI211" s="97"/>
      <c r="AJ211" s="97"/>
      <c r="AK211" s="97"/>
      <c r="AL211" s="97"/>
      <c r="AM211" s="97"/>
      <c r="AN211" s="97"/>
      <c r="AO211" s="97"/>
      <c r="AP211" s="97"/>
      <c r="AQ211" s="97"/>
      <c r="AR211" s="97"/>
      <c r="AS211" s="97"/>
      <c r="AT211" s="97"/>
      <c r="AU211" s="97"/>
      <c r="AV211" s="97"/>
      <c r="AW211" s="97"/>
      <c r="AX211" s="97"/>
      <c r="AY211" s="97"/>
      <c r="AZ211" s="97"/>
      <c r="BA211" s="97"/>
      <c r="BB211" s="97"/>
      <c r="BC211" s="97"/>
      <c r="BD211" s="97"/>
      <c r="BE211" s="97"/>
      <c r="BF211" s="97"/>
      <c r="BG211" s="97"/>
      <c r="BH211" s="97"/>
      <c r="BI211" s="97"/>
      <c r="BJ211" s="97"/>
      <c r="BK211" s="97"/>
      <c r="BL211" s="97"/>
      <c r="BM211" s="97"/>
      <c r="BN211" s="97"/>
      <c r="BO211" s="97"/>
      <c r="BP211" s="97"/>
      <c r="BQ211" s="97"/>
      <c r="BR211" s="97"/>
      <c r="BS211" s="97"/>
      <c r="BT211" s="97"/>
      <c r="BU211" s="97"/>
      <c r="BV211" s="97"/>
      <c r="BW211" s="97"/>
      <c r="BX211" s="97"/>
      <c r="BY211" s="97"/>
      <c r="BZ211" s="97"/>
      <c r="CA211" s="97"/>
      <c r="CB211" s="97"/>
      <c r="CC211" s="97"/>
      <c r="CD211" s="97"/>
      <c r="CE211" s="97"/>
      <c r="CF211" s="97"/>
      <c r="CG211" s="97"/>
      <c r="CH211" s="97"/>
      <c r="CI211" s="97"/>
      <c r="CJ211" s="97"/>
      <c r="CK211" s="97"/>
      <c r="CL211" s="97"/>
      <c r="CM211" s="97"/>
      <c r="CN211" s="97"/>
      <c r="CO211" s="97"/>
      <c r="CP211" s="97"/>
      <c r="CQ211" s="97"/>
      <c r="CR211" s="97"/>
      <c r="CS211" s="97"/>
      <c r="CT211" s="97"/>
      <c r="CU211" s="97"/>
      <c r="CV211" s="97"/>
      <c r="CW211" s="97"/>
      <c r="CX211" s="97"/>
      <c r="CY211" s="97"/>
      <c r="CZ211" s="97"/>
      <c r="DA211" s="97"/>
      <c r="DB211" s="97"/>
      <c r="DC211" s="97"/>
      <c r="DD211" s="97"/>
      <c r="DE211" s="97"/>
      <c r="DF211" s="97"/>
      <c r="DG211" s="97"/>
      <c r="DH211" s="97"/>
      <c r="DI211" s="97"/>
      <c r="DJ211" s="97"/>
      <c r="DK211" s="97"/>
      <c r="DL211" s="97"/>
      <c r="DM211" s="97"/>
      <c r="DN211" s="97"/>
      <c r="DO211" s="97"/>
      <c r="DP211" s="97"/>
      <c r="DQ211" s="97"/>
      <c r="DR211" s="97"/>
      <c r="DS211" s="97"/>
      <c r="DT211" s="97"/>
      <c r="DU211" s="97"/>
      <c r="DV211" s="97"/>
      <c r="DW211" s="97"/>
      <c r="DX211" s="97"/>
    </row>
    <row r="212" ht="14.25" customHeight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  <c r="AA212" s="97"/>
      <c r="AB212" s="97"/>
      <c r="AC212" s="97"/>
      <c r="AD212" s="97"/>
      <c r="AE212" s="97"/>
      <c r="AF212" s="97"/>
      <c r="AG212" s="97"/>
      <c r="AH212" s="97"/>
      <c r="AI212" s="97"/>
      <c r="AJ212" s="97"/>
      <c r="AK212" s="97"/>
      <c r="AL212" s="97"/>
      <c r="AM212" s="97"/>
      <c r="AN212" s="97"/>
      <c r="AO212" s="97"/>
      <c r="AP212" s="97"/>
      <c r="AQ212" s="97"/>
      <c r="AR212" s="97"/>
      <c r="AS212" s="97"/>
      <c r="AT212" s="97"/>
      <c r="AU212" s="97"/>
      <c r="AV212" s="97"/>
      <c r="AW212" s="97"/>
      <c r="AX212" s="97"/>
      <c r="AY212" s="97"/>
      <c r="AZ212" s="97"/>
      <c r="BA212" s="97"/>
      <c r="BB212" s="97"/>
      <c r="BC212" s="97"/>
      <c r="BD212" s="97"/>
      <c r="BE212" s="97"/>
      <c r="BF212" s="97"/>
      <c r="BG212" s="97"/>
      <c r="BH212" s="97"/>
      <c r="BI212" s="97"/>
      <c r="BJ212" s="97"/>
      <c r="BK212" s="97"/>
      <c r="BL212" s="97"/>
      <c r="BM212" s="97"/>
      <c r="BN212" s="97"/>
      <c r="BO212" s="97"/>
      <c r="BP212" s="97"/>
      <c r="BQ212" s="97"/>
      <c r="BR212" s="97"/>
      <c r="BS212" s="97"/>
      <c r="BT212" s="97"/>
      <c r="BU212" s="97"/>
      <c r="BV212" s="97"/>
      <c r="BW212" s="97"/>
      <c r="BX212" s="97"/>
      <c r="BY212" s="97"/>
      <c r="BZ212" s="97"/>
      <c r="CA212" s="97"/>
      <c r="CB212" s="97"/>
      <c r="CC212" s="97"/>
      <c r="CD212" s="97"/>
      <c r="CE212" s="97"/>
      <c r="CF212" s="97"/>
      <c r="CG212" s="97"/>
      <c r="CH212" s="97"/>
      <c r="CI212" s="97"/>
      <c r="CJ212" s="97"/>
      <c r="CK212" s="97"/>
      <c r="CL212" s="97"/>
      <c r="CM212" s="97"/>
      <c r="CN212" s="97"/>
      <c r="CO212" s="97"/>
      <c r="CP212" s="97"/>
      <c r="CQ212" s="97"/>
      <c r="CR212" s="97"/>
      <c r="CS212" s="97"/>
      <c r="CT212" s="97"/>
      <c r="CU212" s="97"/>
      <c r="CV212" s="97"/>
      <c r="CW212" s="97"/>
      <c r="CX212" s="97"/>
      <c r="CY212" s="97"/>
      <c r="CZ212" s="97"/>
      <c r="DA212" s="97"/>
      <c r="DB212" s="97"/>
      <c r="DC212" s="97"/>
      <c r="DD212" s="97"/>
      <c r="DE212" s="97"/>
      <c r="DF212" s="97"/>
      <c r="DG212" s="97"/>
      <c r="DH212" s="97"/>
      <c r="DI212" s="97"/>
      <c r="DJ212" s="97"/>
      <c r="DK212" s="97"/>
      <c r="DL212" s="97"/>
      <c r="DM212" s="97"/>
      <c r="DN212" s="97"/>
      <c r="DO212" s="97"/>
      <c r="DP212" s="97"/>
      <c r="DQ212" s="97"/>
      <c r="DR212" s="97"/>
      <c r="DS212" s="97"/>
      <c r="DT212" s="97"/>
      <c r="DU212" s="97"/>
      <c r="DV212" s="97"/>
      <c r="DW212" s="97"/>
      <c r="DX212" s="97"/>
    </row>
    <row r="213" ht="14.25" customHeight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  <c r="AA213" s="97"/>
      <c r="AB213" s="97"/>
      <c r="AC213" s="97"/>
      <c r="AD213" s="97"/>
      <c r="AE213" s="97"/>
      <c r="AF213" s="97"/>
      <c r="AG213" s="97"/>
      <c r="AH213" s="97"/>
      <c r="AI213" s="97"/>
      <c r="AJ213" s="97"/>
      <c r="AK213" s="97"/>
      <c r="AL213" s="97"/>
      <c r="AM213" s="97"/>
      <c r="AN213" s="97"/>
      <c r="AO213" s="97"/>
      <c r="AP213" s="97"/>
      <c r="AQ213" s="97"/>
      <c r="AR213" s="97"/>
      <c r="AS213" s="97"/>
      <c r="AT213" s="97"/>
      <c r="AU213" s="97"/>
      <c r="AV213" s="97"/>
      <c r="AW213" s="97"/>
      <c r="AX213" s="97"/>
      <c r="AY213" s="97"/>
      <c r="AZ213" s="97"/>
      <c r="BA213" s="97"/>
      <c r="BB213" s="97"/>
      <c r="BC213" s="97"/>
      <c r="BD213" s="97"/>
      <c r="BE213" s="97"/>
      <c r="BF213" s="97"/>
      <c r="BG213" s="97"/>
      <c r="BH213" s="97"/>
      <c r="BI213" s="97"/>
      <c r="BJ213" s="97"/>
      <c r="BK213" s="97"/>
      <c r="BL213" s="97"/>
      <c r="BM213" s="97"/>
      <c r="BN213" s="97"/>
      <c r="BO213" s="97"/>
      <c r="BP213" s="97"/>
      <c r="BQ213" s="97"/>
      <c r="BR213" s="97"/>
      <c r="BS213" s="97"/>
      <c r="BT213" s="97"/>
      <c r="BU213" s="97"/>
      <c r="BV213" s="97"/>
      <c r="BW213" s="97"/>
      <c r="BX213" s="97"/>
      <c r="BY213" s="97"/>
      <c r="BZ213" s="97"/>
      <c r="CA213" s="97"/>
      <c r="CB213" s="97"/>
      <c r="CC213" s="97"/>
      <c r="CD213" s="97"/>
      <c r="CE213" s="97"/>
      <c r="CF213" s="97"/>
      <c r="CG213" s="97"/>
      <c r="CH213" s="97"/>
      <c r="CI213" s="97"/>
      <c r="CJ213" s="97"/>
      <c r="CK213" s="97"/>
      <c r="CL213" s="97"/>
      <c r="CM213" s="97"/>
      <c r="CN213" s="97"/>
      <c r="CO213" s="97"/>
      <c r="CP213" s="97"/>
      <c r="CQ213" s="97"/>
      <c r="CR213" s="97"/>
      <c r="CS213" s="97"/>
      <c r="CT213" s="97"/>
      <c r="CU213" s="97"/>
      <c r="CV213" s="97"/>
      <c r="CW213" s="97"/>
      <c r="CX213" s="97"/>
      <c r="CY213" s="97"/>
      <c r="CZ213" s="97"/>
      <c r="DA213" s="97"/>
      <c r="DB213" s="97"/>
      <c r="DC213" s="97"/>
      <c r="DD213" s="97"/>
      <c r="DE213" s="97"/>
      <c r="DF213" s="97"/>
      <c r="DG213" s="97"/>
      <c r="DH213" s="97"/>
      <c r="DI213" s="97"/>
      <c r="DJ213" s="97"/>
      <c r="DK213" s="97"/>
      <c r="DL213" s="97"/>
      <c r="DM213" s="97"/>
      <c r="DN213" s="97"/>
      <c r="DO213" s="97"/>
      <c r="DP213" s="97"/>
      <c r="DQ213" s="97"/>
      <c r="DR213" s="97"/>
      <c r="DS213" s="97"/>
      <c r="DT213" s="97"/>
      <c r="DU213" s="97"/>
      <c r="DV213" s="97"/>
      <c r="DW213" s="97"/>
      <c r="DX213" s="97"/>
    </row>
    <row r="214" ht="14.25" customHeight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  <c r="AA214" s="97"/>
      <c r="AB214" s="97"/>
      <c r="AC214" s="97"/>
      <c r="AD214" s="97"/>
      <c r="AE214" s="97"/>
      <c r="AF214" s="97"/>
      <c r="AG214" s="97"/>
      <c r="AH214" s="97"/>
      <c r="AI214" s="97"/>
      <c r="AJ214" s="97"/>
      <c r="AK214" s="97"/>
      <c r="AL214" s="97"/>
      <c r="AM214" s="97"/>
      <c r="AN214" s="97"/>
      <c r="AO214" s="97"/>
      <c r="AP214" s="97"/>
      <c r="AQ214" s="97"/>
      <c r="AR214" s="97"/>
      <c r="AS214" s="97"/>
      <c r="AT214" s="97"/>
      <c r="AU214" s="97"/>
      <c r="AV214" s="97"/>
      <c r="AW214" s="97"/>
      <c r="AX214" s="97"/>
      <c r="AY214" s="97"/>
      <c r="AZ214" s="97"/>
      <c r="BA214" s="97"/>
      <c r="BB214" s="97"/>
      <c r="BC214" s="97"/>
      <c r="BD214" s="97"/>
      <c r="BE214" s="97"/>
      <c r="BF214" s="97"/>
      <c r="BG214" s="97"/>
      <c r="BH214" s="97"/>
      <c r="BI214" s="97"/>
      <c r="BJ214" s="97"/>
      <c r="BK214" s="97"/>
      <c r="BL214" s="97"/>
      <c r="BM214" s="97"/>
      <c r="BN214" s="97"/>
      <c r="BO214" s="97"/>
      <c r="BP214" s="97"/>
      <c r="BQ214" s="97"/>
      <c r="BR214" s="97"/>
      <c r="BS214" s="97"/>
      <c r="BT214" s="97"/>
      <c r="BU214" s="97"/>
      <c r="BV214" s="97"/>
      <c r="BW214" s="97"/>
      <c r="BX214" s="97"/>
      <c r="BY214" s="97"/>
      <c r="BZ214" s="97"/>
      <c r="CA214" s="97"/>
      <c r="CB214" s="97"/>
      <c r="CC214" s="97"/>
      <c r="CD214" s="97"/>
      <c r="CE214" s="97"/>
      <c r="CF214" s="97"/>
      <c r="CG214" s="97"/>
      <c r="CH214" s="97"/>
      <c r="CI214" s="97"/>
      <c r="CJ214" s="97"/>
      <c r="CK214" s="97"/>
      <c r="CL214" s="97"/>
      <c r="CM214" s="97"/>
      <c r="CN214" s="97"/>
      <c r="CO214" s="97"/>
      <c r="CP214" s="97"/>
      <c r="CQ214" s="97"/>
      <c r="CR214" s="97"/>
      <c r="CS214" s="97"/>
      <c r="CT214" s="97"/>
      <c r="CU214" s="97"/>
      <c r="CV214" s="97"/>
      <c r="CW214" s="97"/>
      <c r="CX214" s="97"/>
      <c r="CY214" s="97"/>
      <c r="CZ214" s="97"/>
      <c r="DA214" s="97"/>
      <c r="DB214" s="97"/>
      <c r="DC214" s="97"/>
      <c r="DD214" s="97"/>
      <c r="DE214" s="97"/>
      <c r="DF214" s="97"/>
      <c r="DG214" s="97"/>
      <c r="DH214" s="97"/>
      <c r="DI214" s="97"/>
      <c r="DJ214" s="97"/>
      <c r="DK214" s="97"/>
      <c r="DL214" s="97"/>
      <c r="DM214" s="97"/>
      <c r="DN214" s="97"/>
      <c r="DO214" s="97"/>
      <c r="DP214" s="97"/>
      <c r="DQ214" s="97"/>
      <c r="DR214" s="97"/>
      <c r="DS214" s="97"/>
      <c r="DT214" s="97"/>
      <c r="DU214" s="97"/>
      <c r="DV214" s="97"/>
      <c r="DW214" s="97"/>
      <c r="DX214" s="97"/>
    </row>
    <row r="215" ht="14.25" customHeight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97"/>
      <c r="AH215" s="97"/>
      <c r="AI215" s="97"/>
      <c r="AJ215" s="97"/>
      <c r="AK215" s="97"/>
      <c r="AL215" s="97"/>
      <c r="AM215" s="97"/>
      <c r="AN215" s="97"/>
      <c r="AO215" s="97"/>
      <c r="AP215" s="97"/>
      <c r="AQ215" s="97"/>
      <c r="AR215" s="97"/>
      <c r="AS215" s="97"/>
      <c r="AT215" s="97"/>
      <c r="AU215" s="97"/>
      <c r="AV215" s="97"/>
      <c r="AW215" s="97"/>
      <c r="AX215" s="97"/>
      <c r="AY215" s="97"/>
      <c r="AZ215" s="97"/>
      <c r="BA215" s="97"/>
      <c r="BB215" s="97"/>
      <c r="BC215" s="97"/>
      <c r="BD215" s="97"/>
      <c r="BE215" s="97"/>
      <c r="BF215" s="97"/>
      <c r="BG215" s="97"/>
      <c r="BH215" s="97"/>
      <c r="BI215" s="97"/>
      <c r="BJ215" s="97"/>
      <c r="BK215" s="97"/>
      <c r="BL215" s="97"/>
      <c r="BM215" s="97"/>
      <c r="BN215" s="97"/>
      <c r="BO215" s="97"/>
      <c r="BP215" s="97"/>
      <c r="BQ215" s="97"/>
      <c r="BR215" s="97"/>
      <c r="BS215" s="97"/>
      <c r="BT215" s="97"/>
      <c r="BU215" s="97"/>
      <c r="BV215" s="97"/>
      <c r="BW215" s="97"/>
      <c r="BX215" s="97"/>
      <c r="BY215" s="97"/>
      <c r="BZ215" s="97"/>
      <c r="CA215" s="97"/>
      <c r="CB215" s="97"/>
      <c r="CC215" s="97"/>
      <c r="CD215" s="97"/>
      <c r="CE215" s="97"/>
      <c r="CF215" s="97"/>
      <c r="CG215" s="97"/>
      <c r="CH215" s="97"/>
      <c r="CI215" s="97"/>
      <c r="CJ215" s="97"/>
      <c r="CK215" s="97"/>
      <c r="CL215" s="97"/>
      <c r="CM215" s="97"/>
      <c r="CN215" s="97"/>
      <c r="CO215" s="97"/>
      <c r="CP215" s="97"/>
      <c r="CQ215" s="97"/>
      <c r="CR215" s="97"/>
      <c r="CS215" s="97"/>
      <c r="CT215" s="97"/>
      <c r="CU215" s="97"/>
      <c r="CV215" s="97"/>
      <c r="CW215" s="97"/>
      <c r="CX215" s="97"/>
      <c r="CY215" s="97"/>
      <c r="CZ215" s="97"/>
      <c r="DA215" s="97"/>
      <c r="DB215" s="97"/>
      <c r="DC215" s="97"/>
      <c r="DD215" s="97"/>
      <c r="DE215" s="97"/>
      <c r="DF215" s="97"/>
      <c r="DG215" s="97"/>
      <c r="DH215" s="97"/>
      <c r="DI215" s="97"/>
      <c r="DJ215" s="97"/>
      <c r="DK215" s="97"/>
      <c r="DL215" s="97"/>
      <c r="DM215" s="97"/>
      <c r="DN215" s="97"/>
      <c r="DO215" s="97"/>
      <c r="DP215" s="97"/>
      <c r="DQ215" s="97"/>
      <c r="DR215" s="97"/>
      <c r="DS215" s="97"/>
      <c r="DT215" s="97"/>
      <c r="DU215" s="97"/>
      <c r="DV215" s="97"/>
      <c r="DW215" s="97"/>
      <c r="DX215" s="97"/>
    </row>
    <row r="216" ht="14.25" customHeight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97"/>
      <c r="AH216" s="97"/>
      <c r="AI216" s="97"/>
      <c r="AJ216" s="97"/>
      <c r="AK216" s="97"/>
      <c r="AL216" s="97"/>
      <c r="AM216" s="97"/>
      <c r="AN216" s="97"/>
      <c r="AO216" s="97"/>
      <c r="AP216" s="97"/>
      <c r="AQ216" s="97"/>
      <c r="AR216" s="97"/>
      <c r="AS216" s="97"/>
      <c r="AT216" s="97"/>
      <c r="AU216" s="97"/>
      <c r="AV216" s="97"/>
      <c r="AW216" s="97"/>
      <c r="AX216" s="97"/>
      <c r="AY216" s="97"/>
      <c r="AZ216" s="97"/>
      <c r="BA216" s="97"/>
      <c r="BB216" s="97"/>
      <c r="BC216" s="97"/>
      <c r="BD216" s="97"/>
      <c r="BE216" s="97"/>
      <c r="BF216" s="97"/>
      <c r="BG216" s="97"/>
      <c r="BH216" s="97"/>
      <c r="BI216" s="97"/>
      <c r="BJ216" s="97"/>
      <c r="BK216" s="97"/>
      <c r="BL216" s="97"/>
      <c r="BM216" s="97"/>
      <c r="BN216" s="97"/>
      <c r="BO216" s="97"/>
      <c r="BP216" s="97"/>
      <c r="BQ216" s="97"/>
      <c r="BR216" s="97"/>
      <c r="BS216" s="97"/>
      <c r="BT216" s="97"/>
      <c r="BU216" s="97"/>
      <c r="BV216" s="97"/>
      <c r="BW216" s="97"/>
      <c r="BX216" s="97"/>
      <c r="BY216" s="97"/>
      <c r="BZ216" s="97"/>
      <c r="CA216" s="97"/>
      <c r="CB216" s="97"/>
      <c r="CC216" s="97"/>
      <c r="CD216" s="97"/>
      <c r="CE216" s="97"/>
      <c r="CF216" s="97"/>
      <c r="CG216" s="97"/>
      <c r="CH216" s="97"/>
      <c r="CI216" s="97"/>
      <c r="CJ216" s="97"/>
      <c r="CK216" s="97"/>
      <c r="CL216" s="97"/>
      <c r="CM216" s="97"/>
      <c r="CN216" s="97"/>
      <c r="CO216" s="97"/>
      <c r="CP216" s="97"/>
      <c r="CQ216" s="97"/>
      <c r="CR216" s="97"/>
      <c r="CS216" s="97"/>
      <c r="CT216" s="97"/>
      <c r="CU216" s="97"/>
      <c r="CV216" s="97"/>
      <c r="CW216" s="97"/>
      <c r="CX216" s="97"/>
      <c r="CY216" s="97"/>
      <c r="CZ216" s="97"/>
      <c r="DA216" s="97"/>
      <c r="DB216" s="97"/>
      <c r="DC216" s="97"/>
      <c r="DD216" s="97"/>
      <c r="DE216" s="97"/>
      <c r="DF216" s="97"/>
      <c r="DG216" s="97"/>
      <c r="DH216" s="97"/>
      <c r="DI216" s="97"/>
      <c r="DJ216" s="97"/>
      <c r="DK216" s="97"/>
      <c r="DL216" s="97"/>
      <c r="DM216" s="97"/>
      <c r="DN216" s="97"/>
      <c r="DO216" s="97"/>
      <c r="DP216" s="97"/>
      <c r="DQ216" s="97"/>
      <c r="DR216" s="97"/>
      <c r="DS216" s="97"/>
      <c r="DT216" s="97"/>
      <c r="DU216" s="97"/>
      <c r="DV216" s="97"/>
      <c r="DW216" s="97"/>
      <c r="DX216" s="97"/>
    </row>
    <row r="217" ht="14.25" customHeight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97"/>
      <c r="AH217" s="97"/>
      <c r="AI217" s="97"/>
      <c r="AJ217" s="97"/>
      <c r="AK217" s="97"/>
      <c r="AL217" s="97"/>
      <c r="AM217" s="97"/>
      <c r="AN217" s="97"/>
      <c r="AO217" s="97"/>
      <c r="AP217" s="97"/>
      <c r="AQ217" s="97"/>
      <c r="AR217" s="97"/>
      <c r="AS217" s="97"/>
      <c r="AT217" s="97"/>
      <c r="AU217" s="97"/>
      <c r="AV217" s="97"/>
      <c r="AW217" s="97"/>
      <c r="AX217" s="97"/>
      <c r="AY217" s="97"/>
      <c r="AZ217" s="97"/>
      <c r="BA217" s="97"/>
      <c r="BB217" s="97"/>
      <c r="BC217" s="97"/>
      <c r="BD217" s="97"/>
      <c r="BE217" s="97"/>
      <c r="BF217" s="97"/>
      <c r="BG217" s="97"/>
      <c r="BH217" s="97"/>
      <c r="BI217" s="97"/>
      <c r="BJ217" s="97"/>
      <c r="BK217" s="97"/>
      <c r="BL217" s="97"/>
      <c r="BM217" s="97"/>
      <c r="BN217" s="97"/>
      <c r="BO217" s="97"/>
      <c r="BP217" s="97"/>
      <c r="BQ217" s="97"/>
      <c r="BR217" s="97"/>
      <c r="BS217" s="97"/>
      <c r="BT217" s="97"/>
      <c r="BU217" s="97"/>
      <c r="BV217" s="97"/>
      <c r="BW217" s="97"/>
      <c r="BX217" s="97"/>
      <c r="BY217" s="97"/>
      <c r="BZ217" s="97"/>
      <c r="CA217" s="97"/>
      <c r="CB217" s="97"/>
      <c r="CC217" s="97"/>
      <c r="CD217" s="97"/>
      <c r="CE217" s="97"/>
      <c r="CF217" s="97"/>
      <c r="CG217" s="97"/>
      <c r="CH217" s="97"/>
      <c r="CI217" s="97"/>
      <c r="CJ217" s="97"/>
      <c r="CK217" s="97"/>
      <c r="CL217" s="97"/>
      <c r="CM217" s="97"/>
      <c r="CN217" s="97"/>
      <c r="CO217" s="97"/>
      <c r="CP217" s="97"/>
      <c r="CQ217" s="97"/>
      <c r="CR217" s="97"/>
      <c r="CS217" s="97"/>
      <c r="CT217" s="97"/>
      <c r="CU217" s="97"/>
      <c r="CV217" s="97"/>
      <c r="CW217" s="97"/>
      <c r="CX217" s="97"/>
      <c r="CY217" s="97"/>
      <c r="CZ217" s="97"/>
      <c r="DA217" s="97"/>
      <c r="DB217" s="97"/>
      <c r="DC217" s="97"/>
      <c r="DD217" s="97"/>
      <c r="DE217" s="97"/>
      <c r="DF217" s="97"/>
      <c r="DG217" s="97"/>
      <c r="DH217" s="97"/>
      <c r="DI217" s="97"/>
      <c r="DJ217" s="97"/>
      <c r="DK217" s="97"/>
      <c r="DL217" s="97"/>
      <c r="DM217" s="97"/>
      <c r="DN217" s="97"/>
      <c r="DO217" s="97"/>
      <c r="DP217" s="97"/>
      <c r="DQ217" s="97"/>
      <c r="DR217" s="97"/>
      <c r="DS217" s="97"/>
      <c r="DT217" s="97"/>
      <c r="DU217" s="97"/>
      <c r="DV217" s="97"/>
      <c r="DW217" s="97"/>
      <c r="DX217" s="97"/>
    </row>
    <row r="218" ht="14.25" customHeight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97"/>
      <c r="AH218" s="97"/>
      <c r="AI218" s="97"/>
      <c r="AJ218" s="97"/>
      <c r="AK218" s="97"/>
      <c r="AL218" s="97"/>
      <c r="AM218" s="97"/>
      <c r="AN218" s="97"/>
      <c r="AO218" s="97"/>
      <c r="AP218" s="97"/>
      <c r="AQ218" s="97"/>
      <c r="AR218" s="97"/>
      <c r="AS218" s="97"/>
      <c r="AT218" s="97"/>
      <c r="AU218" s="97"/>
      <c r="AV218" s="97"/>
      <c r="AW218" s="97"/>
      <c r="AX218" s="97"/>
      <c r="AY218" s="97"/>
      <c r="AZ218" s="97"/>
      <c r="BA218" s="97"/>
      <c r="BB218" s="97"/>
      <c r="BC218" s="97"/>
      <c r="BD218" s="97"/>
      <c r="BE218" s="97"/>
      <c r="BF218" s="97"/>
      <c r="BG218" s="97"/>
      <c r="BH218" s="97"/>
      <c r="BI218" s="97"/>
      <c r="BJ218" s="97"/>
      <c r="BK218" s="97"/>
      <c r="BL218" s="97"/>
      <c r="BM218" s="97"/>
      <c r="BN218" s="97"/>
      <c r="BO218" s="97"/>
      <c r="BP218" s="97"/>
      <c r="BQ218" s="97"/>
      <c r="BR218" s="97"/>
      <c r="BS218" s="97"/>
      <c r="BT218" s="97"/>
      <c r="BU218" s="97"/>
      <c r="BV218" s="97"/>
      <c r="BW218" s="97"/>
      <c r="BX218" s="97"/>
      <c r="BY218" s="97"/>
      <c r="BZ218" s="97"/>
      <c r="CA218" s="97"/>
      <c r="CB218" s="97"/>
      <c r="CC218" s="97"/>
      <c r="CD218" s="97"/>
      <c r="CE218" s="97"/>
      <c r="CF218" s="97"/>
      <c r="CG218" s="97"/>
      <c r="CH218" s="97"/>
      <c r="CI218" s="97"/>
      <c r="CJ218" s="97"/>
      <c r="CK218" s="97"/>
      <c r="CL218" s="97"/>
      <c r="CM218" s="97"/>
      <c r="CN218" s="97"/>
      <c r="CO218" s="97"/>
      <c r="CP218" s="97"/>
      <c r="CQ218" s="97"/>
      <c r="CR218" s="97"/>
      <c r="CS218" s="97"/>
      <c r="CT218" s="97"/>
      <c r="CU218" s="97"/>
      <c r="CV218" s="97"/>
      <c r="CW218" s="97"/>
      <c r="CX218" s="97"/>
      <c r="CY218" s="97"/>
      <c r="CZ218" s="97"/>
      <c r="DA218" s="97"/>
      <c r="DB218" s="97"/>
      <c r="DC218" s="97"/>
      <c r="DD218" s="97"/>
      <c r="DE218" s="97"/>
      <c r="DF218" s="97"/>
      <c r="DG218" s="97"/>
      <c r="DH218" s="97"/>
      <c r="DI218" s="97"/>
      <c r="DJ218" s="97"/>
      <c r="DK218" s="97"/>
      <c r="DL218" s="97"/>
      <c r="DM218" s="97"/>
      <c r="DN218" s="97"/>
      <c r="DO218" s="97"/>
      <c r="DP218" s="97"/>
      <c r="DQ218" s="97"/>
      <c r="DR218" s="97"/>
      <c r="DS218" s="97"/>
      <c r="DT218" s="97"/>
      <c r="DU218" s="97"/>
      <c r="DV218" s="97"/>
      <c r="DW218" s="97"/>
      <c r="DX218" s="97"/>
    </row>
    <row r="219" ht="14.25" customHeight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  <c r="AA219" s="97"/>
      <c r="AB219" s="97"/>
      <c r="AC219" s="97"/>
      <c r="AD219" s="97"/>
      <c r="AE219" s="97"/>
      <c r="AF219" s="97"/>
      <c r="AG219" s="97"/>
      <c r="AH219" s="97"/>
      <c r="AI219" s="97"/>
      <c r="AJ219" s="97"/>
      <c r="AK219" s="97"/>
      <c r="AL219" s="97"/>
      <c r="AM219" s="97"/>
      <c r="AN219" s="97"/>
      <c r="AO219" s="97"/>
      <c r="AP219" s="97"/>
      <c r="AQ219" s="97"/>
      <c r="AR219" s="97"/>
      <c r="AS219" s="97"/>
      <c r="AT219" s="97"/>
      <c r="AU219" s="97"/>
      <c r="AV219" s="97"/>
      <c r="AW219" s="97"/>
      <c r="AX219" s="97"/>
      <c r="AY219" s="97"/>
      <c r="AZ219" s="97"/>
      <c r="BA219" s="97"/>
      <c r="BB219" s="97"/>
      <c r="BC219" s="97"/>
      <c r="BD219" s="97"/>
      <c r="BE219" s="97"/>
      <c r="BF219" s="97"/>
      <c r="BG219" s="97"/>
      <c r="BH219" s="97"/>
      <c r="BI219" s="97"/>
      <c r="BJ219" s="97"/>
      <c r="BK219" s="97"/>
      <c r="BL219" s="97"/>
      <c r="BM219" s="97"/>
      <c r="BN219" s="97"/>
      <c r="BO219" s="97"/>
      <c r="BP219" s="97"/>
      <c r="BQ219" s="97"/>
      <c r="BR219" s="97"/>
      <c r="BS219" s="97"/>
      <c r="BT219" s="97"/>
      <c r="BU219" s="97"/>
      <c r="BV219" s="97"/>
      <c r="BW219" s="97"/>
      <c r="BX219" s="97"/>
      <c r="BY219" s="97"/>
      <c r="BZ219" s="97"/>
      <c r="CA219" s="97"/>
      <c r="CB219" s="97"/>
      <c r="CC219" s="97"/>
      <c r="CD219" s="97"/>
      <c r="CE219" s="97"/>
      <c r="CF219" s="97"/>
      <c r="CG219" s="97"/>
      <c r="CH219" s="97"/>
      <c r="CI219" s="97"/>
      <c r="CJ219" s="97"/>
      <c r="CK219" s="97"/>
      <c r="CL219" s="97"/>
      <c r="CM219" s="97"/>
      <c r="CN219" s="97"/>
      <c r="CO219" s="97"/>
      <c r="CP219" s="97"/>
      <c r="CQ219" s="97"/>
      <c r="CR219" s="97"/>
      <c r="CS219" s="97"/>
      <c r="CT219" s="97"/>
      <c r="CU219" s="97"/>
      <c r="CV219" s="97"/>
      <c r="CW219" s="97"/>
      <c r="CX219" s="97"/>
      <c r="CY219" s="97"/>
      <c r="CZ219" s="97"/>
      <c r="DA219" s="97"/>
      <c r="DB219" s="97"/>
      <c r="DC219" s="97"/>
      <c r="DD219" s="97"/>
      <c r="DE219" s="97"/>
      <c r="DF219" s="97"/>
      <c r="DG219" s="97"/>
      <c r="DH219" s="97"/>
      <c r="DI219" s="97"/>
      <c r="DJ219" s="97"/>
      <c r="DK219" s="97"/>
      <c r="DL219" s="97"/>
      <c r="DM219" s="97"/>
      <c r="DN219" s="97"/>
      <c r="DO219" s="97"/>
      <c r="DP219" s="97"/>
      <c r="DQ219" s="97"/>
      <c r="DR219" s="97"/>
      <c r="DS219" s="97"/>
      <c r="DT219" s="97"/>
      <c r="DU219" s="97"/>
      <c r="DV219" s="97"/>
      <c r="DW219" s="97"/>
      <c r="DX219" s="97"/>
    </row>
    <row r="220" ht="14.25" customHeight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  <c r="AA220" s="97"/>
      <c r="AB220" s="97"/>
      <c r="AC220" s="97"/>
      <c r="AD220" s="97"/>
      <c r="AE220" s="97"/>
      <c r="AF220" s="97"/>
      <c r="AG220" s="97"/>
      <c r="AH220" s="97"/>
      <c r="AI220" s="97"/>
      <c r="AJ220" s="97"/>
      <c r="AK220" s="97"/>
      <c r="AL220" s="97"/>
      <c r="AM220" s="97"/>
      <c r="AN220" s="97"/>
      <c r="AO220" s="97"/>
      <c r="AP220" s="97"/>
      <c r="AQ220" s="97"/>
      <c r="AR220" s="97"/>
      <c r="AS220" s="97"/>
      <c r="AT220" s="97"/>
      <c r="AU220" s="97"/>
      <c r="AV220" s="97"/>
      <c r="AW220" s="97"/>
      <c r="AX220" s="97"/>
      <c r="AY220" s="97"/>
      <c r="AZ220" s="97"/>
      <c r="BA220" s="97"/>
      <c r="BB220" s="97"/>
      <c r="BC220" s="97"/>
      <c r="BD220" s="97"/>
      <c r="BE220" s="97"/>
      <c r="BF220" s="97"/>
      <c r="BG220" s="97"/>
      <c r="BH220" s="97"/>
      <c r="BI220" s="97"/>
      <c r="BJ220" s="97"/>
      <c r="BK220" s="97"/>
      <c r="BL220" s="97"/>
      <c r="BM220" s="97"/>
      <c r="BN220" s="97"/>
      <c r="BO220" s="97"/>
      <c r="BP220" s="97"/>
      <c r="BQ220" s="97"/>
      <c r="BR220" s="97"/>
      <c r="BS220" s="97"/>
      <c r="BT220" s="97"/>
      <c r="BU220" s="97"/>
      <c r="BV220" s="97"/>
      <c r="BW220" s="97"/>
      <c r="BX220" s="97"/>
      <c r="BY220" s="97"/>
      <c r="BZ220" s="97"/>
      <c r="CA220" s="97"/>
      <c r="CB220" s="97"/>
      <c r="CC220" s="97"/>
      <c r="CD220" s="97"/>
      <c r="CE220" s="97"/>
      <c r="CF220" s="97"/>
      <c r="CG220" s="97"/>
      <c r="CH220" s="97"/>
      <c r="CI220" s="97"/>
      <c r="CJ220" s="97"/>
      <c r="CK220" s="97"/>
      <c r="CL220" s="97"/>
      <c r="CM220" s="97"/>
      <c r="CN220" s="97"/>
      <c r="CO220" s="97"/>
      <c r="CP220" s="97"/>
      <c r="CQ220" s="97"/>
      <c r="CR220" s="97"/>
      <c r="CS220" s="97"/>
      <c r="CT220" s="97"/>
      <c r="CU220" s="97"/>
      <c r="CV220" s="97"/>
      <c r="CW220" s="97"/>
      <c r="CX220" s="97"/>
      <c r="CY220" s="97"/>
      <c r="CZ220" s="97"/>
      <c r="DA220" s="97"/>
      <c r="DB220" s="97"/>
      <c r="DC220" s="97"/>
      <c r="DD220" s="97"/>
      <c r="DE220" s="97"/>
      <c r="DF220" s="97"/>
      <c r="DG220" s="97"/>
      <c r="DH220" s="97"/>
      <c r="DI220" s="97"/>
      <c r="DJ220" s="97"/>
      <c r="DK220" s="97"/>
      <c r="DL220" s="97"/>
      <c r="DM220" s="97"/>
      <c r="DN220" s="97"/>
      <c r="DO220" s="97"/>
      <c r="DP220" s="97"/>
      <c r="DQ220" s="97"/>
      <c r="DR220" s="97"/>
      <c r="DS220" s="97"/>
      <c r="DT220" s="97"/>
      <c r="DU220" s="97"/>
      <c r="DV220" s="97"/>
      <c r="DW220" s="97"/>
      <c r="DX220" s="97"/>
    </row>
    <row r="221" ht="14.25" customHeight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  <c r="AA221" s="97"/>
      <c r="AB221" s="97"/>
      <c r="AC221" s="97"/>
      <c r="AD221" s="97"/>
      <c r="AE221" s="97"/>
      <c r="AF221" s="97"/>
      <c r="AG221" s="97"/>
      <c r="AH221" s="97"/>
      <c r="AI221" s="97"/>
      <c r="AJ221" s="97"/>
      <c r="AK221" s="97"/>
      <c r="AL221" s="97"/>
      <c r="AM221" s="97"/>
      <c r="AN221" s="97"/>
      <c r="AO221" s="97"/>
      <c r="AP221" s="97"/>
      <c r="AQ221" s="97"/>
      <c r="AR221" s="97"/>
      <c r="AS221" s="97"/>
      <c r="AT221" s="97"/>
      <c r="AU221" s="97"/>
      <c r="AV221" s="97"/>
      <c r="AW221" s="97"/>
      <c r="AX221" s="97"/>
      <c r="AY221" s="97"/>
      <c r="AZ221" s="97"/>
      <c r="BA221" s="97"/>
      <c r="BB221" s="97"/>
      <c r="BC221" s="97"/>
      <c r="BD221" s="97"/>
      <c r="BE221" s="97"/>
      <c r="BF221" s="97"/>
      <c r="BG221" s="97"/>
      <c r="BH221" s="97"/>
      <c r="BI221" s="97"/>
      <c r="BJ221" s="97"/>
      <c r="BK221" s="97"/>
      <c r="BL221" s="97"/>
      <c r="BM221" s="97"/>
      <c r="BN221" s="97"/>
      <c r="BO221" s="97"/>
      <c r="BP221" s="97"/>
      <c r="BQ221" s="97"/>
      <c r="BR221" s="97"/>
      <c r="BS221" s="97"/>
      <c r="BT221" s="97"/>
      <c r="BU221" s="97"/>
      <c r="BV221" s="97"/>
      <c r="BW221" s="97"/>
      <c r="BX221" s="97"/>
      <c r="BY221" s="97"/>
      <c r="BZ221" s="97"/>
      <c r="CA221" s="97"/>
      <c r="CB221" s="97"/>
      <c r="CC221" s="97"/>
      <c r="CD221" s="97"/>
      <c r="CE221" s="97"/>
      <c r="CF221" s="97"/>
      <c r="CG221" s="97"/>
      <c r="CH221" s="97"/>
      <c r="CI221" s="97"/>
      <c r="CJ221" s="97"/>
      <c r="CK221" s="97"/>
      <c r="CL221" s="97"/>
      <c r="CM221" s="97"/>
      <c r="CN221" s="97"/>
      <c r="CO221" s="97"/>
      <c r="CP221" s="97"/>
      <c r="CQ221" s="97"/>
      <c r="CR221" s="97"/>
      <c r="CS221" s="97"/>
      <c r="CT221" s="97"/>
      <c r="CU221" s="97"/>
      <c r="CV221" s="97"/>
      <c r="CW221" s="97"/>
      <c r="CX221" s="97"/>
      <c r="CY221" s="97"/>
      <c r="CZ221" s="97"/>
      <c r="DA221" s="97"/>
      <c r="DB221" s="97"/>
      <c r="DC221" s="97"/>
      <c r="DD221" s="97"/>
      <c r="DE221" s="97"/>
      <c r="DF221" s="97"/>
      <c r="DG221" s="97"/>
      <c r="DH221" s="97"/>
      <c r="DI221" s="97"/>
      <c r="DJ221" s="97"/>
      <c r="DK221" s="97"/>
      <c r="DL221" s="97"/>
      <c r="DM221" s="97"/>
      <c r="DN221" s="97"/>
      <c r="DO221" s="97"/>
      <c r="DP221" s="97"/>
      <c r="DQ221" s="97"/>
      <c r="DR221" s="97"/>
      <c r="DS221" s="97"/>
      <c r="DT221" s="97"/>
      <c r="DU221" s="97"/>
      <c r="DV221" s="97"/>
      <c r="DW221" s="97"/>
      <c r="DX221" s="97"/>
    </row>
    <row r="222" ht="14.25" customHeight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  <c r="AA222" s="97"/>
      <c r="AB222" s="97"/>
      <c r="AC222" s="97"/>
      <c r="AD222" s="97"/>
      <c r="AE222" s="97"/>
      <c r="AF222" s="97"/>
      <c r="AG222" s="97"/>
      <c r="AH222" s="97"/>
      <c r="AI222" s="97"/>
      <c r="AJ222" s="97"/>
      <c r="AK222" s="97"/>
      <c r="AL222" s="97"/>
      <c r="AM222" s="97"/>
      <c r="AN222" s="97"/>
      <c r="AO222" s="97"/>
      <c r="AP222" s="97"/>
      <c r="AQ222" s="97"/>
      <c r="AR222" s="97"/>
      <c r="AS222" s="97"/>
      <c r="AT222" s="97"/>
      <c r="AU222" s="97"/>
      <c r="AV222" s="97"/>
      <c r="AW222" s="97"/>
      <c r="AX222" s="97"/>
      <c r="AY222" s="97"/>
      <c r="AZ222" s="97"/>
      <c r="BA222" s="97"/>
      <c r="BB222" s="97"/>
      <c r="BC222" s="97"/>
      <c r="BD222" s="97"/>
      <c r="BE222" s="97"/>
      <c r="BF222" s="97"/>
      <c r="BG222" s="97"/>
      <c r="BH222" s="97"/>
      <c r="BI222" s="97"/>
      <c r="BJ222" s="97"/>
      <c r="BK222" s="97"/>
      <c r="BL222" s="97"/>
      <c r="BM222" s="97"/>
      <c r="BN222" s="97"/>
      <c r="BO222" s="97"/>
      <c r="BP222" s="97"/>
      <c r="BQ222" s="97"/>
      <c r="BR222" s="97"/>
      <c r="BS222" s="97"/>
      <c r="BT222" s="97"/>
      <c r="BU222" s="97"/>
      <c r="BV222" s="97"/>
      <c r="BW222" s="97"/>
      <c r="BX222" s="97"/>
      <c r="BY222" s="97"/>
      <c r="BZ222" s="97"/>
      <c r="CA222" s="97"/>
      <c r="CB222" s="97"/>
      <c r="CC222" s="97"/>
      <c r="CD222" s="97"/>
      <c r="CE222" s="97"/>
      <c r="CF222" s="97"/>
      <c r="CG222" s="97"/>
      <c r="CH222" s="97"/>
      <c r="CI222" s="97"/>
      <c r="CJ222" s="97"/>
      <c r="CK222" s="97"/>
      <c r="CL222" s="97"/>
      <c r="CM222" s="97"/>
      <c r="CN222" s="97"/>
      <c r="CO222" s="97"/>
      <c r="CP222" s="97"/>
      <c r="CQ222" s="97"/>
      <c r="CR222" s="97"/>
      <c r="CS222" s="97"/>
      <c r="CT222" s="97"/>
      <c r="CU222" s="97"/>
      <c r="CV222" s="97"/>
      <c r="CW222" s="97"/>
      <c r="CX222" s="97"/>
      <c r="CY222" s="97"/>
      <c r="CZ222" s="97"/>
      <c r="DA222" s="97"/>
      <c r="DB222" s="97"/>
      <c r="DC222" s="97"/>
      <c r="DD222" s="97"/>
      <c r="DE222" s="97"/>
      <c r="DF222" s="97"/>
      <c r="DG222" s="97"/>
      <c r="DH222" s="97"/>
      <c r="DI222" s="97"/>
      <c r="DJ222" s="97"/>
      <c r="DK222" s="97"/>
      <c r="DL222" s="97"/>
      <c r="DM222" s="97"/>
      <c r="DN222" s="97"/>
      <c r="DO222" s="97"/>
      <c r="DP222" s="97"/>
      <c r="DQ222" s="97"/>
      <c r="DR222" s="97"/>
      <c r="DS222" s="97"/>
      <c r="DT222" s="97"/>
      <c r="DU222" s="97"/>
      <c r="DV222" s="97"/>
      <c r="DW222" s="97"/>
      <c r="DX222" s="97"/>
    </row>
    <row r="223" ht="14.25" customHeight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  <c r="AA223" s="97"/>
      <c r="AB223" s="97"/>
      <c r="AC223" s="97"/>
      <c r="AD223" s="97"/>
      <c r="AE223" s="97"/>
      <c r="AF223" s="97"/>
      <c r="AG223" s="97"/>
      <c r="AH223" s="97"/>
      <c r="AI223" s="97"/>
      <c r="AJ223" s="97"/>
      <c r="AK223" s="97"/>
      <c r="AL223" s="97"/>
      <c r="AM223" s="97"/>
      <c r="AN223" s="97"/>
      <c r="AO223" s="97"/>
      <c r="AP223" s="97"/>
      <c r="AQ223" s="97"/>
      <c r="AR223" s="97"/>
      <c r="AS223" s="97"/>
      <c r="AT223" s="97"/>
      <c r="AU223" s="97"/>
      <c r="AV223" s="97"/>
      <c r="AW223" s="97"/>
      <c r="AX223" s="97"/>
      <c r="AY223" s="97"/>
      <c r="AZ223" s="97"/>
      <c r="BA223" s="97"/>
      <c r="BB223" s="97"/>
      <c r="BC223" s="97"/>
      <c r="BD223" s="97"/>
      <c r="BE223" s="97"/>
      <c r="BF223" s="97"/>
      <c r="BG223" s="97"/>
      <c r="BH223" s="97"/>
      <c r="BI223" s="97"/>
      <c r="BJ223" s="97"/>
      <c r="BK223" s="97"/>
      <c r="BL223" s="97"/>
      <c r="BM223" s="97"/>
      <c r="BN223" s="97"/>
      <c r="BO223" s="97"/>
      <c r="BP223" s="97"/>
      <c r="BQ223" s="97"/>
      <c r="BR223" s="97"/>
      <c r="BS223" s="97"/>
      <c r="BT223" s="97"/>
      <c r="BU223" s="97"/>
      <c r="BV223" s="97"/>
      <c r="BW223" s="97"/>
      <c r="BX223" s="97"/>
      <c r="BY223" s="97"/>
      <c r="BZ223" s="97"/>
      <c r="CA223" s="97"/>
      <c r="CB223" s="97"/>
      <c r="CC223" s="97"/>
      <c r="CD223" s="97"/>
      <c r="CE223" s="97"/>
      <c r="CF223" s="97"/>
      <c r="CG223" s="97"/>
      <c r="CH223" s="97"/>
      <c r="CI223" s="97"/>
      <c r="CJ223" s="97"/>
      <c r="CK223" s="97"/>
      <c r="CL223" s="97"/>
      <c r="CM223" s="97"/>
      <c r="CN223" s="97"/>
      <c r="CO223" s="97"/>
      <c r="CP223" s="97"/>
      <c r="CQ223" s="97"/>
      <c r="CR223" s="97"/>
      <c r="CS223" s="97"/>
      <c r="CT223" s="97"/>
      <c r="CU223" s="97"/>
      <c r="CV223" s="97"/>
      <c r="CW223" s="97"/>
      <c r="CX223" s="97"/>
      <c r="CY223" s="97"/>
      <c r="CZ223" s="97"/>
      <c r="DA223" s="97"/>
      <c r="DB223" s="97"/>
      <c r="DC223" s="97"/>
      <c r="DD223" s="97"/>
      <c r="DE223" s="97"/>
      <c r="DF223" s="97"/>
      <c r="DG223" s="97"/>
      <c r="DH223" s="97"/>
      <c r="DI223" s="97"/>
      <c r="DJ223" s="97"/>
      <c r="DK223" s="97"/>
      <c r="DL223" s="97"/>
      <c r="DM223" s="97"/>
      <c r="DN223" s="97"/>
      <c r="DO223" s="97"/>
      <c r="DP223" s="97"/>
      <c r="DQ223" s="97"/>
      <c r="DR223" s="97"/>
      <c r="DS223" s="97"/>
      <c r="DT223" s="97"/>
      <c r="DU223" s="97"/>
      <c r="DV223" s="97"/>
      <c r="DW223" s="97"/>
      <c r="DX223" s="97"/>
    </row>
    <row r="224" ht="14.25" customHeight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  <c r="AA224" s="97"/>
      <c r="AB224" s="97"/>
      <c r="AC224" s="97"/>
      <c r="AD224" s="97"/>
      <c r="AE224" s="97"/>
      <c r="AF224" s="97"/>
      <c r="AG224" s="97"/>
      <c r="AH224" s="97"/>
      <c r="AI224" s="97"/>
      <c r="AJ224" s="97"/>
      <c r="AK224" s="97"/>
      <c r="AL224" s="97"/>
      <c r="AM224" s="97"/>
      <c r="AN224" s="97"/>
      <c r="AO224" s="97"/>
      <c r="AP224" s="97"/>
      <c r="AQ224" s="97"/>
      <c r="AR224" s="97"/>
      <c r="AS224" s="97"/>
      <c r="AT224" s="97"/>
      <c r="AU224" s="97"/>
      <c r="AV224" s="97"/>
      <c r="AW224" s="97"/>
      <c r="AX224" s="97"/>
      <c r="AY224" s="97"/>
      <c r="AZ224" s="97"/>
      <c r="BA224" s="97"/>
      <c r="BB224" s="97"/>
      <c r="BC224" s="97"/>
      <c r="BD224" s="97"/>
      <c r="BE224" s="97"/>
      <c r="BF224" s="97"/>
      <c r="BG224" s="97"/>
      <c r="BH224" s="97"/>
      <c r="BI224" s="97"/>
      <c r="BJ224" s="97"/>
      <c r="BK224" s="97"/>
      <c r="BL224" s="97"/>
      <c r="BM224" s="97"/>
      <c r="BN224" s="97"/>
      <c r="BO224" s="97"/>
      <c r="BP224" s="97"/>
      <c r="BQ224" s="97"/>
      <c r="BR224" s="97"/>
      <c r="BS224" s="97"/>
      <c r="BT224" s="97"/>
      <c r="BU224" s="97"/>
      <c r="BV224" s="97"/>
      <c r="BW224" s="97"/>
      <c r="BX224" s="97"/>
      <c r="BY224" s="97"/>
      <c r="BZ224" s="97"/>
      <c r="CA224" s="97"/>
      <c r="CB224" s="97"/>
      <c r="CC224" s="97"/>
      <c r="CD224" s="97"/>
      <c r="CE224" s="97"/>
      <c r="CF224" s="97"/>
      <c r="CG224" s="97"/>
      <c r="CH224" s="97"/>
      <c r="CI224" s="97"/>
      <c r="CJ224" s="97"/>
      <c r="CK224" s="97"/>
      <c r="CL224" s="97"/>
      <c r="CM224" s="97"/>
      <c r="CN224" s="97"/>
      <c r="CO224" s="97"/>
      <c r="CP224" s="97"/>
      <c r="CQ224" s="97"/>
      <c r="CR224" s="97"/>
      <c r="CS224" s="97"/>
      <c r="CT224" s="97"/>
      <c r="CU224" s="97"/>
      <c r="CV224" s="97"/>
      <c r="CW224" s="97"/>
      <c r="CX224" s="97"/>
      <c r="CY224" s="97"/>
      <c r="CZ224" s="97"/>
      <c r="DA224" s="97"/>
      <c r="DB224" s="97"/>
      <c r="DC224" s="97"/>
      <c r="DD224" s="97"/>
      <c r="DE224" s="97"/>
      <c r="DF224" s="97"/>
      <c r="DG224" s="97"/>
      <c r="DH224" s="97"/>
      <c r="DI224" s="97"/>
      <c r="DJ224" s="97"/>
      <c r="DK224" s="97"/>
      <c r="DL224" s="97"/>
      <c r="DM224" s="97"/>
      <c r="DN224" s="97"/>
      <c r="DO224" s="97"/>
      <c r="DP224" s="97"/>
      <c r="DQ224" s="97"/>
      <c r="DR224" s="97"/>
      <c r="DS224" s="97"/>
      <c r="DT224" s="97"/>
      <c r="DU224" s="97"/>
      <c r="DV224" s="97"/>
      <c r="DW224" s="97"/>
      <c r="DX224" s="97"/>
    </row>
    <row r="225" ht="14.25" customHeight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  <c r="AA225" s="97"/>
      <c r="AB225" s="97"/>
      <c r="AC225" s="97"/>
      <c r="AD225" s="97"/>
      <c r="AE225" s="97"/>
      <c r="AF225" s="97"/>
      <c r="AG225" s="97"/>
      <c r="AH225" s="97"/>
      <c r="AI225" s="97"/>
      <c r="AJ225" s="97"/>
      <c r="AK225" s="97"/>
      <c r="AL225" s="97"/>
      <c r="AM225" s="97"/>
      <c r="AN225" s="97"/>
      <c r="AO225" s="97"/>
      <c r="AP225" s="97"/>
      <c r="AQ225" s="97"/>
      <c r="AR225" s="97"/>
      <c r="AS225" s="97"/>
      <c r="AT225" s="97"/>
      <c r="AU225" s="97"/>
      <c r="AV225" s="97"/>
      <c r="AW225" s="97"/>
      <c r="AX225" s="97"/>
      <c r="AY225" s="97"/>
      <c r="AZ225" s="97"/>
      <c r="BA225" s="97"/>
      <c r="BB225" s="97"/>
      <c r="BC225" s="97"/>
      <c r="BD225" s="97"/>
      <c r="BE225" s="97"/>
      <c r="BF225" s="97"/>
      <c r="BG225" s="97"/>
      <c r="BH225" s="97"/>
      <c r="BI225" s="97"/>
      <c r="BJ225" s="97"/>
      <c r="BK225" s="97"/>
      <c r="BL225" s="97"/>
      <c r="BM225" s="97"/>
      <c r="BN225" s="97"/>
      <c r="BO225" s="97"/>
      <c r="BP225" s="97"/>
      <c r="BQ225" s="97"/>
      <c r="BR225" s="97"/>
      <c r="BS225" s="97"/>
      <c r="BT225" s="97"/>
      <c r="BU225" s="97"/>
      <c r="BV225" s="97"/>
      <c r="BW225" s="97"/>
      <c r="BX225" s="97"/>
      <c r="BY225" s="97"/>
      <c r="BZ225" s="97"/>
      <c r="CA225" s="97"/>
      <c r="CB225" s="97"/>
      <c r="CC225" s="97"/>
      <c r="CD225" s="97"/>
      <c r="CE225" s="97"/>
      <c r="CF225" s="97"/>
      <c r="CG225" s="97"/>
      <c r="CH225" s="97"/>
      <c r="CI225" s="97"/>
      <c r="CJ225" s="97"/>
      <c r="CK225" s="97"/>
      <c r="CL225" s="97"/>
      <c r="CM225" s="97"/>
      <c r="CN225" s="97"/>
      <c r="CO225" s="97"/>
      <c r="CP225" s="97"/>
      <c r="CQ225" s="97"/>
      <c r="CR225" s="97"/>
      <c r="CS225" s="97"/>
      <c r="CT225" s="97"/>
      <c r="CU225" s="97"/>
      <c r="CV225" s="97"/>
      <c r="CW225" s="97"/>
      <c r="CX225" s="97"/>
      <c r="CY225" s="97"/>
      <c r="CZ225" s="97"/>
      <c r="DA225" s="97"/>
      <c r="DB225" s="97"/>
      <c r="DC225" s="97"/>
      <c r="DD225" s="97"/>
      <c r="DE225" s="97"/>
      <c r="DF225" s="97"/>
      <c r="DG225" s="97"/>
      <c r="DH225" s="97"/>
      <c r="DI225" s="97"/>
      <c r="DJ225" s="97"/>
      <c r="DK225" s="97"/>
      <c r="DL225" s="97"/>
      <c r="DM225" s="97"/>
      <c r="DN225" s="97"/>
      <c r="DO225" s="97"/>
      <c r="DP225" s="97"/>
      <c r="DQ225" s="97"/>
      <c r="DR225" s="97"/>
      <c r="DS225" s="97"/>
      <c r="DT225" s="97"/>
      <c r="DU225" s="97"/>
      <c r="DV225" s="97"/>
      <c r="DW225" s="97"/>
      <c r="DX225" s="97"/>
    </row>
    <row r="226" ht="14.25" customHeight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  <c r="AA226" s="97"/>
      <c r="AB226" s="97"/>
      <c r="AC226" s="97"/>
      <c r="AD226" s="97"/>
      <c r="AE226" s="97"/>
      <c r="AF226" s="97"/>
      <c r="AG226" s="97"/>
      <c r="AH226" s="97"/>
      <c r="AI226" s="97"/>
      <c r="AJ226" s="97"/>
      <c r="AK226" s="97"/>
      <c r="AL226" s="97"/>
      <c r="AM226" s="97"/>
      <c r="AN226" s="97"/>
      <c r="AO226" s="97"/>
      <c r="AP226" s="97"/>
      <c r="AQ226" s="97"/>
      <c r="AR226" s="97"/>
      <c r="AS226" s="97"/>
      <c r="AT226" s="97"/>
      <c r="AU226" s="97"/>
      <c r="AV226" s="97"/>
      <c r="AW226" s="97"/>
      <c r="AX226" s="97"/>
      <c r="AY226" s="97"/>
      <c r="AZ226" s="97"/>
      <c r="BA226" s="97"/>
      <c r="BB226" s="97"/>
      <c r="BC226" s="97"/>
      <c r="BD226" s="97"/>
      <c r="BE226" s="97"/>
      <c r="BF226" s="97"/>
      <c r="BG226" s="97"/>
      <c r="BH226" s="97"/>
      <c r="BI226" s="97"/>
      <c r="BJ226" s="97"/>
      <c r="BK226" s="97"/>
      <c r="BL226" s="97"/>
      <c r="BM226" s="97"/>
      <c r="BN226" s="97"/>
      <c r="BO226" s="97"/>
      <c r="BP226" s="97"/>
      <c r="BQ226" s="97"/>
      <c r="BR226" s="97"/>
      <c r="BS226" s="97"/>
      <c r="BT226" s="97"/>
      <c r="BU226" s="97"/>
      <c r="BV226" s="97"/>
      <c r="BW226" s="97"/>
      <c r="BX226" s="97"/>
      <c r="BY226" s="97"/>
      <c r="BZ226" s="97"/>
      <c r="CA226" s="97"/>
      <c r="CB226" s="97"/>
      <c r="CC226" s="97"/>
      <c r="CD226" s="97"/>
      <c r="CE226" s="97"/>
      <c r="CF226" s="97"/>
      <c r="CG226" s="97"/>
      <c r="CH226" s="97"/>
      <c r="CI226" s="97"/>
      <c r="CJ226" s="97"/>
      <c r="CK226" s="97"/>
      <c r="CL226" s="97"/>
      <c r="CM226" s="97"/>
      <c r="CN226" s="97"/>
      <c r="CO226" s="97"/>
      <c r="CP226" s="97"/>
      <c r="CQ226" s="97"/>
      <c r="CR226" s="97"/>
      <c r="CS226" s="97"/>
      <c r="CT226" s="97"/>
      <c r="CU226" s="97"/>
      <c r="CV226" s="97"/>
      <c r="CW226" s="97"/>
      <c r="CX226" s="97"/>
      <c r="CY226" s="97"/>
      <c r="CZ226" s="97"/>
      <c r="DA226" s="97"/>
      <c r="DB226" s="97"/>
      <c r="DC226" s="97"/>
      <c r="DD226" s="97"/>
      <c r="DE226" s="97"/>
      <c r="DF226" s="97"/>
      <c r="DG226" s="97"/>
      <c r="DH226" s="97"/>
      <c r="DI226" s="97"/>
      <c r="DJ226" s="97"/>
      <c r="DK226" s="97"/>
      <c r="DL226" s="97"/>
      <c r="DM226" s="97"/>
      <c r="DN226" s="97"/>
      <c r="DO226" s="97"/>
      <c r="DP226" s="97"/>
      <c r="DQ226" s="97"/>
      <c r="DR226" s="97"/>
      <c r="DS226" s="97"/>
      <c r="DT226" s="97"/>
      <c r="DU226" s="97"/>
      <c r="DV226" s="97"/>
      <c r="DW226" s="97"/>
      <c r="DX226" s="97"/>
    </row>
    <row r="227" ht="14.25" customHeight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  <c r="AA227" s="97"/>
      <c r="AB227" s="97"/>
      <c r="AC227" s="97"/>
      <c r="AD227" s="97"/>
      <c r="AE227" s="97"/>
      <c r="AF227" s="97"/>
      <c r="AG227" s="97"/>
      <c r="AH227" s="97"/>
      <c r="AI227" s="97"/>
      <c r="AJ227" s="97"/>
      <c r="AK227" s="97"/>
      <c r="AL227" s="97"/>
      <c r="AM227" s="97"/>
      <c r="AN227" s="97"/>
      <c r="AO227" s="97"/>
      <c r="AP227" s="97"/>
      <c r="AQ227" s="97"/>
      <c r="AR227" s="97"/>
      <c r="AS227" s="97"/>
      <c r="AT227" s="97"/>
      <c r="AU227" s="97"/>
      <c r="AV227" s="97"/>
      <c r="AW227" s="97"/>
      <c r="AX227" s="97"/>
      <c r="AY227" s="97"/>
      <c r="AZ227" s="97"/>
      <c r="BA227" s="97"/>
      <c r="BB227" s="97"/>
      <c r="BC227" s="97"/>
      <c r="BD227" s="97"/>
      <c r="BE227" s="97"/>
      <c r="BF227" s="97"/>
      <c r="BG227" s="97"/>
      <c r="BH227" s="97"/>
      <c r="BI227" s="97"/>
      <c r="BJ227" s="97"/>
      <c r="BK227" s="97"/>
      <c r="BL227" s="97"/>
      <c r="BM227" s="97"/>
      <c r="BN227" s="97"/>
      <c r="BO227" s="97"/>
      <c r="BP227" s="97"/>
      <c r="BQ227" s="97"/>
      <c r="BR227" s="97"/>
      <c r="BS227" s="97"/>
      <c r="BT227" s="97"/>
      <c r="BU227" s="97"/>
      <c r="BV227" s="97"/>
      <c r="BW227" s="97"/>
      <c r="BX227" s="97"/>
      <c r="BY227" s="97"/>
      <c r="BZ227" s="97"/>
      <c r="CA227" s="97"/>
      <c r="CB227" s="97"/>
      <c r="CC227" s="97"/>
      <c r="CD227" s="97"/>
      <c r="CE227" s="97"/>
      <c r="CF227" s="97"/>
      <c r="CG227" s="97"/>
      <c r="CH227" s="97"/>
      <c r="CI227" s="97"/>
      <c r="CJ227" s="97"/>
      <c r="CK227" s="97"/>
      <c r="CL227" s="97"/>
      <c r="CM227" s="97"/>
      <c r="CN227" s="97"/>
      <c r="CO227" s="97"/>
      <c r="CP227" s="97"/>
      <c r="CQ227" s="97"/>
      <c r="CR227" s="97"/>
      <c r="CS227" s="97"/>
      <c r="CT227" s="97"/>
      <c r="CU227" s="97"/>
      <c r="CV227" s="97"/>
      <c r="CW227" s="97"/>
      <c r="CX227" s="97"/>
      <c r="CY227" s="97"/>
      <c r="CZ227" s="97"/>
      <c r="DA227" s="97"/>
      <c r="DB227" s="97"/>
      <c r="DC227" s="97"/>
      <c r="DD227" s="97"/>
      <c r="DE227" s="97"/>
      <c r="DF227" s="97"/>
      <c r="DG227" s="97"/>
      <c r="DH227" s="97"/>
      <c r="DI227" s="97"/>
      <c r="DJ227" s="97"/>
      <c r="DK227" s="97"/>
      <c r="DL227" s="97"/>
      <c r="DM227" s="97"/>
      <c r="DN227" s="97"/>
      <c r="DO227" s="97"/>
      <c r="DP227" s="97"/>
      <c r="DQ227" s="97"/>
      <c r="DR227" s="97"/>
      <c r="DS227" s="97"/>
      <c r="DT227" s="97"/>
      <c r="DU227" s="97"/>
      <c r="DV227" s="97"/>
      <c r="DW227" s="97"/>
      <c r="DX227" s="97"/>
    </row>
    <row r="228" ht="14.25" customHeight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  <c r="AA228" s="97"/>
      <c r="AB228" s="97"/>
      <c r="AC228" s="97"/>
      <c r="AD228" s="97"/>
      <c r="AE228" s="97"/>
      <c r="AF228" s="97"/>
      <c r="AG228" s="97"/>
      <c r="AH228" s="97"/>
      <c r="AI228" s="97"/>
      <c r="AJ228" s="97"/>
      <c r="AK228" s="97"/>
      <c r="AL228" s="97"/>
      <c r="AM228" s="97"/>
      <c r="AN228" s="97"/>
      <c r="AO228" s="97"/>
      <c r="AP228" s="97"/>
      <c r="AQ228" s="97"/>
      <c r="AR228" s="97"/>
      <c r="AS228" s="97"/>
      <c r="AT228" s="97"/>
      <c r="AU228" s="97"/>
      <c r="AV228" s="97"/>
      <c r="AW228" s="97"/>
      <c r="AX228" s="97"/>
      <c r="AY228" s="97"/>
      <c r="AZ228" s="97"/>
      <c r="BA228" s="97"/>
      <c r="BB228" s="97"/>
      <c r="BC228" s="97"/>
      <c r="BD228" s="97"/>
      <c r="BE228" s="97"/>
      <c r="BF228" s="97"/>
      <c r="BG228" s="97"/>
      <c r="BH228" s="97"/>
      <c r="BI228" s="97"/>
      <c r="BJ228" s="97"/>
      <c r="BK228" s="97"/>
      <c r="BL228" s="97"/>
      <c r="BM228" s="97"/>
      <c r="BN228" s="97"/>
      <c r="BO228" s="97"/>
      <c r="BP228" s="97"/>
      <c r="BQ228" s="97"/>
      <c r="BR228" s="97"/>
      <c r="BS228" s="97"/>
      <c r="BT228" s="97"/>
      <c r="BU228" s="97"/>
      <c r="BV228" s="97"/>
      <c r="BW228" s="97"/>
      <c r="BX228" s="97"/>
      <c r="BY228" s="97"/>
      <c r="BZ228" s="97"/>
      <c r="CA228" s="97"/>
      <c r="CB228" s="97"/>
      <c r="CC228" s="97"/>
      <c r="CD228" s="97"/>
      <c r="CE228" s="97"/>
      <c r="CF228" s="97"/>
      <c r="CG228" s="97"/>
      <c r="CH228" s="97"/>
      <c r="CI228" s="97"/>
      <c r="CJ228" s="97"/>
      <c r="CK228" s="97"/>
      <c r="CL228" s="97"/>
      <c r="CM228" s="97"/>
      <c r="CN228" s="97"/>
      <c r="CO228" s="97"/>
      <c r="CP228" s="97"/>
      <c r="CQ228" s="97"/>
      <c r="CR228" s="97"/>
      <c r="CS228" s="97"/>
      <c r="CT228" s="97"/>
      <c r="CU228" s="97"/>
      <c r="CV228" s="97"/>
      <c r="CW228" s="97"/>
      <c r="CX228" s="97"/>
      <c r="CY228" s="97"/>
      <c r="CZ228" s="97"/>
      <c r="DA228" s="97"/>
      <c r="DB228" s="97"/>
      <c r="DC228" s="97"/>
      <c r="DD228" s="97"/>
      <c r="DE228" s="97"/>
      <c r="DF228" s="97"/>
      <c r="DG228" s="97"/>
      <c r="DH228" s="97"/>
      <c r="DI228" s="97"/>
      <c r="DJ228" s="97"/>
      <c r="DK228" s="97"/>
      <c r="DL228" s="97"/>
      <c r="DM228" s="97"/>
      <c r="DN228" s="97"/>
      <c r="DO228" s="97"/>
      <c r="DP228" s="97"/>
      <c r="DQ228" s="97"/>
      <c r="DR228" s="97"/>
      <c r="DS228" s="97"/>
      <c r="DT228" s="97"/>
      <c r="DU228" s="97"/>
      <c r="DV228" s="97"/>
      <c r="DW228" s="97"/>
      <c r="DX228" s="97"/>
    </row>
    <row r="229" ht="14.25" customHeight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  <c r="AA229" s="97"/>
      <c r="AB229" s="97"/>
      <c r="AC229" s="97"/>
      <c r="AD229" s="97"/>
      <c r="AE229" s="97"/>
      <c r="AF229" s="97"/>
      <c r="AG229" s="97"/>
      <c r="AH229" s="97"/>
      <c r="AI229" s="97"/>
      <c r="AJ229" s="97"/>
      <c r="AK229" s="97"/>
      <c r="AL229" s="97"/>
      <c r="AM229" s="97"/>
      <c r="AN229" s="97"/>
      <c r="AO229" s="97"/>
      <c r="AP229" s="97"/>
      <c r="AQ229" s="97"/>
      <c r="AR229" s="97"/>
      <c r="AS229" s="97"/>
      <c r="AT229" s="97"/>
      <c r="AU229" s="97"/>
      <c r="AV229" s="97"/>
      <c r="AW229" s="97"/>
      <c r="AX229" s="97"/>
      <c r="AY229" s="97"/>
      <c r="AZ229" s="97"/>
      <c r="BA229" s="97"/>
      <c r="BB229" s="97"/>
      <c r="BC229" s="97"/>
      <c r="BD229" s="97"/>
      <c r="BE229" s="97"/>
      <c r="BF229" s="97"/>
      <c r="BG229" s="97"/>
      <c r="BH229" s="97"/>
      <c r="BI229" s="97"/>
      <c r="BJ229" s="97"/>
      <c r="BK229" s="97"/>
      <c r="BL229" s="97"/>
      <c r="BM229" s="97"/>
      <c r="BN229" s="97"/>
      <c r="BO229" s="97"/>
      <c r="BP229" s="97"/>
      <c r="BQ229" s="97"/>
      <c r="BR229" s="97"/>
      <c r="BS229" s="97"/>
      <c r="BT229" s="97"/>
      <c r="BU229" s="97"/>
      <c r="BV229" s="97"/>
      <c r="BW229" s="97"/>
      <c r="BX229" s="97"/>
      <c r="BY229" s="97"/>
      <c r="BZ229" s="97"/>
      <c r="CA229" s="97"/>
      <c r="CB229" s="97"/>
      <c r="CC229" s="97"/>
      <c r="CD229" s="97"/>
      <c r="CE229" s="97"/>
      <c r="CF229" s="97"/>
      <c r="CG229" s="97"/>
      <c r="CH229" s="97"/>
      <c r="CI229" s="97"/>
      <c r="CJ229" s="97"/>
      <c r="CK229" s="97"/>
      <c r="CL229" s="97"/>
      <c r="CM229" s="97"/>
      <c r="CN229" s="97"/>
      <c r="CO229" s="97"/>
      <c r="CP229" s="97"/>
      <c r="CQ229" s="97"/>
      <c r="CR229" s="97"/>
      <c r="CS229" s="97"/>
      <c r="CT229" s="97"/>
      <c r="CU229" s="97"/>
      <c r="CV229" s="97"/>
      <c r="CW229" s="97"/>
      <c r="CX229" s="97"/>
      <c r="CY229" s="97"/>
      <c r="CZ229" s="97"/>
      <c r="DA229" s="97"/>
      <c r="DB229" s="97"/>
      <c r="DC229" s="97"/>
      <c r="DD229" s="97"/>
      <c r="DE229" s="97"/>
      <c r="DF229" s="97"/>
      <c r="DG229" s="97"/>
      <c r="DH229" s="97"/>
      <c r="DI229" s="97"/>
      <c r="DJ229" s="97"/>
      <c r="DK229" s="97"/>
      <c r="DL229" s="97"/>
      <c r="DM229" s="97"/>
      <c r="DN229" s="97"/>
      <c r="DO229" s="97"/>
      <c r="DP229" s="97"/>
      <c r="DQ229" s="97"/>
      <c r="DR229" s="97"/>
      <c r="DS229" s="97"/>
      <c r="DT229" s="97"/>
      <c r="DU229" s="97"/>
      <c r="DV229" s="97"/>
      <c r="DW229" s="97"/>
      <c r="DX229" s="97"/>
    </row>
    <row r="230" ht="14.25" customHeight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  <c r="AA230" s="97"/>
      <c r="AB230" s="97"/>
      <c r="AC230" s="97"/>
      <c r="AD230" s="97"/>
      <c r="AE230" s="97"/>
      <c r="AF230" s="97"/>
      <c r="AG230" s="97"/>
      <c r="AH230" s="97"/>
      <c r="AI230" s="97"/>
      <c r="AJ230" s="97"/>
      <c r="AK230" s="97"/>
      <c r="AL230" s="97"/>
      <c r="AM230" s="97"/>
      <c r="AN230" s="97"/>
      <c r="AO230" s="97"/>
      <c r="AP230" s="97"/>
      <c r="AQ230" s="97"/>
      <c r="AR230" s="97"/>
      <c r="AS230" s="97"/>
      <c r="AT230" s="97"/>
      <c r="AU230" s="97"/>
      <c r="AV230" s="97"/>
      <c r="AW230" s="97"/>
      <c r="AX230" s="97"/>
      <c r="AY230" s="97"/>
      <c r="AZ230" s="97"/>
      <c r="BA230" s="97"/>
      <c r="BB230" s="97"/>
      <c r="BC230" s="97"/>
      <c r="BD230" s="97"/>
      <c r="BE230" s="97"/>
      <c r="BF230" s="97"/>
      <c r="BG230" s="97"/>
      <c r="BH230" s="97"/>
      <c r="BI230" s="97"/>
      <c r="BJ230" s="97"/>
      <c r="BK230" s="97"/>
      <c r="BL230" s="97"/>
      <c r="BM230" s="97"/>
      <c r="BN230" s="97"/>
      <c r="BO230" s="97"/>
      <c r="BP230" s="97"/>
      <c r="BQ230" s="97"/>
      <c r="BR230" s="97"/>
      <c r="BS230" s="97"/>
      <c r="BT230" s="97"/>
      <c r="BU230" s="97"/>
      <c r="BV230" s="97"/>
      <c r="BW230" s="97"/>
      <c r="BX230" s="97"/>
      <c r="BY230" s="97"/>
      <c r="BZ230" s="97"/>
      <c r="CA230" s="97"/>
      <c r="CB230" s="97"/>
      <c r="CC230" s="97"/>
      <c r="CD230" s="97"/>
      <c r="CE230" s="97"/>
      <c r="CF230" s="97"/>
      <c r="CG230" s="97"/>
      <c r="CH230" s="97"/>
      <c r="CI230" s="97"/>
      <c r="CJ230" s="97"/>
      <c r="CK230" s="97"/>
      <c r="CL230" s="97"/>
      <c r="CM230" s="97"/>
      <c r="CN230" s="97"/>
      <c r="CO230" s="97"/>
      <c r="CP230" s="97"/>
      <c r="CQ230" s="97"/>
      <c r="CR230" s="97"/>
      <c r="CS230" s="97"/>
      <c r="CT230" s="97"/>
      <c r="CU230" s="97"/>
      <c r="CV230" s="97"/>
      <c r="CW230" s="97"/>
      <c r="CX230" s="97"/>
      <c r="CY230" s="97"/>
      <c r="CZ230" s="97"/>
      <c r="DA230" s="97"/>
      <c r="DB230" s="97"/>
      <c r="DC230" s="97"/>
      <c r="DD230" s="97"/>
      <c r="DE230" s="97"/>
      <c r="DF230" s="97"/>
      <c r="DG230" s="97"/>
      <c r="DH230" s="97"/>
      <c r="DI230" s="97"/>
      <c r="DJ230" s="97"/>
      <c r="DK230" s="97"/>
      <c r="DL230" s="97"/>
      <c r="DM230" s="97"/>
      <c r="DN230" s="97"/>
      <c r="DO230" s="97"/>
      <c r="DP230" s="97"/>
      <c r="DQ230" s="97"/>
      <c r="DR230" s="97"/>
      <c r="DS230" s="97"/>
      <c r="DT230" s="97"/>
      <c r="DU230" s="97"/>
      <c r="DV230" s="97"/>
      <c r="DW230" s="97"/>
      <c r="DX230" s="97"/>
    </row>
    <row r="231" ht="14.25" customHeight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  <c r="AA231" s="97"/>
      <c r="AB231" s="97"/>
      <c r="AC231" s="97"/>
      <c r="AD231" s="97"/>
      <c r="AE231" s="97"/>
      <c r="AF231" s="97"/>
      <c r="AG231" s="97"/>
      <c r="AH231" s="97"/>
      <c r="AI231" s="97"/>
      <c r="AJ231" s="97"/>
      <c r="AK231" s="97"/>
      <c r="AL231" s="97"/>
      <c r="AM231" s="97"/>
      <c r="AN231" s="97"/>
      <c r="AO231" s="97"/>
      <c r="AP231" s="97"/>
      <c r="AQ231" s="97"/>
      <c r="AR231" s="97"/>
      <c r="AS231" s="97"/>
      <c r="AT231" s="97"/>
      <c r="AU231" s="97"/>
      <c r="AV231" s="97"/>
      <c r="AW231" s="97"/>
      <c r="AX231" s="97"/>
      <c r="AY231" s="97"/>
      <c r="AZ231" s="97"/>
      <c r="BA231" s="97"/>
      <c r="BB231" s="97"/>
      <c r="BC231" s="97"/>
      <c r="BD231" s="97"/>
      <c r="BE231" s="97"/>
      <c r="BF231" s="97"/>
      <c r="BG231" s="97"/>
      <c r="BH231" s="97"/>
      <c r="BI231" s="97"/>
      <c r="BJ231" s="97"/>
      <c r="BK231" s="97"/>
      <c r="BL231" s="97"/>
      <c r="BM231" s="97"/>
      <c r="BN231" s="97"/>
      <c r="BO231" s="97"/>
      <c r="BP231" s="97"/>
      <c r="BQ231" s="97"/>
      <c r="BR231" s="97"/>
      <c r="BS231" s="97"/>
      <c r="BT231" s="97"/>
      <c r="BU231" s="97"/>
      <c r="BV231" s="97"/>
      <c r="BW231" s="97"/>
      <c r="BX231" s="97"/>
      <c r="BY231" s="97"/>
      <c r="BZ231" s="97"/>
      <c r="CA231" s="97"/>
      <c r="CB231" s="97"/>
      <c r="CC231" s="97"/>
      <c r="CD231" s="97"/>
      <c r="CE231" s="97"/>
      <c r="CF231" s="97"/>
      <c r="CG231" s="97"/>
      <c r="CH231" s="97"/>
      <c r="CI231" s="97"/>
      <c r="CJ231" s="97"/>
      <c r="CK231" s="97"/>
      <c r="CL231" s="97"/>
      <c r="CM231" s="97"/>
      <c r="CN231" s="97"/>
      <c r="CO231" s="97"/>
      <c r="CP231" s="97"/>
      <c r="CQ231" s="97"/>
      <c r="CR231" s="97"/>
      <c r="CS231" s="97"/>
      <c r="CT231" s="97"/>
      <c r="CU231" s="97"/>
      <c r="CV231" s="97"/>
      <c r="CW231" s="97"/>
      <c r="CX231" s="97"/>
      <c r="CY231" s="97"/>
      <c r="CZ231" s="97"/>
      <c r="DA231" s="97"/>
      <c r="DB231" s="97"/>
      <c r="DC231" s="97"/>
      <c r="DD231" s="97"/>
      <c r="DE231" s="97"/>
      <c r="DF231" s="97"/>
      <c r="DG231" s="97"/>
      <c r="DH231" s="97"/>
      <c r="DI231" s="97"/>
      <c r="DJ231" s="97"/>
      <c r="DK231" s="97"/>
      <c r="DL231" s="97"/>
      <c r="DM231" s="97"/>
      <c r="DN231" s="97"/>
      <c r="DO231" s="97"/>
      <c r="DP231" s="97"/>
      <c r="DQ231" s="97"/>
      <c r="DR231" s="97"/>
      <c r="DS231" s="97"/>
      <c r="DT231" s="97"/>
      <c r="DU231" s="97"/>
      <c r="DV231" s="97"/>
      <c r="DW231" s="97"/>
      <c r="DX231" s="97"/>
    </row>
    <row r="232" ht="14.25" customHeight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  <c r="AA232" s="97"/>
      <c r="AB232" s="97"/>
      <c r="AC232" s="97"/>
      <c r="AD232" s="97"/>
      <c r="AE232" s="97"/>
      <c r="AF232" s="97"/>
      <c r="AG232" s="97"/>
      <c r="AH232" s="97"/>
      <c r="AI232" s="97"/>
      <c r="AJ232" s="97"/>
      <c r="AK232" s="97"/>
      <c r="AL232" s="97"/>
      <c r="AM232" s="97"/>
      <c r="AN232" s="97"/>
      <c r="AO232" s="97"/>
      <c r="AP232" s="97"/>
      <c r="AQ232" s="97"/>
      <c r="AR232" s="97"/>
      <c r="AS232" s="97"/>
      <c r="AT232" s="97"/>
      <c r="AU232" s="97"/>
      <c r="AV232" s="97"/>
      <c r="AW232" s="97"/>
      <c r="AX232" s="97"/>
      <c r="AY232" s="97"/>
      <c r="AZ232" s="97"/>
      <c r="BA232" s="97"/>
      <c r="BB232" s="97"/>
      <c r="BC232" s="97"/>
      <c r="BD232" s="97"/>
      <c r="BE232" s="97"/>
      <c r="BF232" s="97"/>
      <c r="BG232" s="97"/>
      <c r="BH232" s="97"/>
      <c r="BI232" s="97"/>
      <c r="BJ232" s="97"/>
      <c r="BK232" s="97"/>
      <c r="BL232" s="97"/>
      <c r="BM232" s="97"/>
      <c r="BN232" s="97"/>
      <c r="BO232" s="97"/>
      <c r="BP232" s="97"/>
      <c r="BQ232" s="97"/>
      <c r="BR232" s="97"/>
      <c r="BS232" s="97"/>
      <c r="BT232" s="97"/>
      <c r="BU232" s="97"/>
      <c r="BV232" s="97"/>
      <c r="BW232" s="97"/>
      <c r="BX232" s="97"/>
      <c r="BY232" s="97"/>
      <c r="BZ232" s="97"/>
      <c r="CA232" s="97"/>
      <c r="CB232" s="97"/>
      <c r="CC232" s="97"/>
      <c r="CD232" s="97"/>
      <c r="CE232" s="97"/>
      <c r="CF232" s="97"/>
      <c r="CG232" s="97"/>
      <c r="CH232" s="97"/>
      <c r="CI232" s="97"/>
      <c r="CJ232" s="97"/>
      <c r="CK232" s="97"/>
      <c r="CL232" s="97"/>
      <c r="CM232" s="97"/>
      <c r="CN232" s="97"/>
      <c r="CO232" s="97"/>
      <c r="CP232" s="97"/>
      <c r="CQ232" s="97"/>
      <c r="CR232" s="97"/>
      <c r="CS232" s="97"/>
      <c r="CT232" s="97"/>
      <c r="CU232" s="97"/>
      <c r="CV232" s="97"/>
      <c r="CW232" s="97"/>
      <c r="CX232" s="97"/>
      <c r="CY232" s="97"/>
      <c r="CZ232" s="97"/>
      <c r="DA232" s="97"/>
      <c r="DB232" s="97"/>
      <c r="DC232" s="97"/>
      <c r="DD232" s="97"/>
      <c r="DE232" s="97"/>
      <c r="DF232" s="97"/>
      <c r="DG232" s="97"/>
      <c r="DH232" s="97"/>
      <c r="DI232" s="97"/>
      <c r="DJ232" s="97"/>
      <c r="DK232" s="97"/>
      <c r="DL232" s="97"/>
      <c r="DM232" s="97"/>
      <c r="DN232" s="97"/>
      <c r="DO232" s="97"/>
      <c r="DP232" s="97"/>
      <c r="DQ232" s="97"/>
      <c r="DR232" s="97"/>
      <c r="DS232" s="97"/>
      <c r="DT232" s="97"/>
      <c r="DU232" s="97"/>
      <c r="DV232" s="97"/>
      <c r="DW232" s="97"/>
      <c r="DX232" s="97"/>
    </row>
    <row r="233" ht="14.25" customHeight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  <c r="AA233" s="97"/>
      <c r="AB233" s="97"/>
      <c r="AC233" s="97"/>
      <c r="AD233" s="97"/>
      <c r="AE233" s="97"/>
      <c r="AF233" s="97"/>
      <c r="AG233" s="97"/>
      <c r="AH233" s="97"/>
      <c r="AI233" s="97"/>
      <c r="AJ233" s="97"/>
      <c r="AK233" s="97"/>
      <c r="AL233" s="97"/>
      <c r="AM233" s="97"/>
      <c r="AN233" s="97"/>
      <c r="AO233" s="97"/>
      <c r="AP233" s="97"/>
      <c r="AQ233" s="97"/>
      <c r="AR233" s="97"/>
      <c r="AS233" s="97"/>
      <c r="AT233" s="97"/>
      <c r="AU233" s="97"/>
      <c r="AV233" s="97"/>
      <c r="AW233" s="97"/>
      <c r="AX233" s="97"/>
      <c r="AY233" s="97"/>
      <c r="AZ233" s="97"/>
      <c r="BA233" s="97"/>
      <c r="BB233" s="97"/>
      <c r="BC233" s="97"/>
      <c r="BD233" s="97"/>
      <c r="BE233" s="97"/>
      <c r="BF233" s="97"/>
      <c r="BG233" s="97"/>
      <c r="BH233" s="97"/>
      <c r="BI233" s="97"/>
      <c r="BJ233" s="97"/>
      <c r="BK233" s="97"/>
      <c r="BL233" s="97"/>
      <c r="BM233" s="97"/>
      <c r="BN233" s="97"/>
      <c r="BO233" s="97"/>
      <c r="BP233" s="97"/>
      <c r="BQ233" s="97"/>
      <c r="BR233" s="97"/>
      <c r="BS233" s="97"/>
      <c r="BT233" s="97"/>
      <c r="BU233" s="97"/>
      <c r="BV233" s="97"/>
      <c r="BW233" s="97"/>
      <c r="BX233" s="97"/>
      <c r="BY233" s="97"/>
      <c r="BZ233" s="97"/>
      <c r="CA233" s="97"/>
      <c r="CB233" s="97"/>
      <c r="CC233" s="97"/>
      <c r="CD233" s="97"/>
      <c r="CE233" s="97"/>
      <c r="CF233" s="97"/>
      <c r="CG233" s="97"/>
      <c r="CH233" s="97"/>
      <c r="CI233" s="97"/>
      <c r="CJ233" s="97"/>
      <c r="CK233" s="97"/>
      <c r="CL233" s="97"/>
      <c r="CM233" s="97"/>
      <c r="CN233" s="97"/>
      <c r="CO233" s="97"/>
      <c r="CP233" s="97"/>
      <c r="CQ233" s="97"/>
      <c r="CR233" s="97"/>
      <c r="CS233" s="97"/>
      <c r="CT233" s="97"/>
      <c r="CU233" s="97"/>
      <c r="CV233" s="97"/>
      <c r="CW233" s="97"/>
      <c r="CX233" s="97"/>
      <c r="CY233" s="97"/>
      <c r="CZ233" s="97"/>
      <c r="DA233" s="97"/>
      <c r="DB233" s="97"/>
      <c r="DC233" s="97"/>
      <c r="DD233" s="97"/>
      <c r="DE233" s="97"/>
      <c r="DF233" s="97"/>
      <c r="DG233" s="97"/>
      <c r="DH233" s="97"/>
      <c r="DI233" s="97"/>
      <c r="DJ233" s="97"/>
      <c r="DK233" s="97"/>
      <c r="DL233" s="97"/>
      <c r="DM233" s="97"/>
      <c r="DN233" s="97"/>
      <c r="DO233" s="97"/>
      <c r="DP233" s="97"/>
      <c r="DQ233" s="97"/>
      <c r="DR233" s="97"/>
      <c r="DS233" s="97"/>
      <c r="DT233" s="97"/>
      <c r="DU233" s="97"/>
      <c r="DV233" s="97"/>
      <c r="DW233" s="97"/>
      <c r="DX233" s="97"/>
    </row>
    <row r="234" ht="14.25" customHeight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  <c r="AA234" s="97"/>
      <c r="AB234" s="97"/>
      <c r="AC234" s="97"/>
      <c r="AD234" s="97"/>
      <c r="AE234" s="97"/>
      <c r="AF234" s="97"/>
      <c r="AG234" s="97"/>
      <c r="AH234" s="97"/>
      <c r="AI234" s="97"/>
      <c r="AJ234" s="97"/>
      <c r="AK234" s="97"/>
      <c r="AL234" s="97"/>
      <c r="AM234" s="97"/>
      <c r="AN234" s="97"/>
      <c r="AO234" s="97"/>
      <c r="AP234" s="97"/>
      <c r="AQ234" s="97"/>
      <c r="AR234" s="97"/>
      <c r="AS234" s="97"/>
      <c r="AT234" s="97"/>
      <c r="AU234" s="97"/>
      <c r="AV234" s="97"/>
      <c r="AW234" s="97"/>
      <c r="AX234" s="97"/>
      <c r="AY234" s="97"/>
      <c r="AZ234" s="97"/>
      <c r="BA234" s="97"/>
      <c r="BB234" s="97"/>
      <c r="BC234" s="97"/>
      <c r="BD234" s="97"/>
      <c r="BE234" s="97"/>
      <c r="BF234" s="97"/>
      <c r="BG234" s="97"/>
      <c r="BH234" s="97"/>
      <c r="BI234" s="97"/>
      <c r="BJ234" s="97"/>
      <c r="BK234" s="97"/>
      <c r="BL234" s="97"/>
      <c r="BM234" s="97"/>
      <c r="BN234" s="97"/>
      <c r="BO234" s="97"/>
      <c r="BP234" s="97"/>
      <c r="BQ234" s="97"/>
      <c r="BR234" s="97"/>
      <c r="BS234" s="97"/>
      <c r="BT234" s="97"/>
      <c r="BU234" s="97"/>
      <c r="BV234" s="97"/>
      <c r="BW234" s="97"/>
      <c r="BX234" s="97"/>
      <c r="BY234" s="97"/>
      <c r="BZ234" s="97"/>
      <c r="CA234" s="97"/>
      <c r="CB234" s="97"/>
      <c r="CC234" s="97"/>
      <c r="CD234" s="97"/>
      <c r="CE234" s="97"/>
      <c r="CF234" s="97"/>
      <c r="CG234" s="97"/>
      <c r="CH234" s="97"/>
      <c r="CI234" s="97"/>
      <c r="CJ234" s="97"/>
      <c r="CK234" s="97"/>
      <c r="CL234" s="97"/>
      <c r="CM234" s="97"/>
      <c r="CN234" s="97"/>
      <c r="CO234" s="97"/>
      <c r="CP234" s="97"/>
      <c r="CQ234" s="97"/>
      <c r="CR234" s="97"/>
      <c r="CS234" s="97"/>
      <c r="CT234" s="97"/>
      <c r="CU234" s="97"/>
      <c r="CV234" s="97"/>
      <c r="CW234" s="97"/>
      <c r="CX234" s="97"/>
      <c r="CY234" s="97"/>
      <c r="CZ234" s="97"/>
      <c r="DA234" s="97"/>
      <c r="DB234" s="97"/>
      <c r="DC234" s="97"/>
      <c r="DD234" s="97"/>
      <c r="DE234" s="97"/>
      <c r="DF234" s="97"/>
      <c r="DG234" s="97"/>
      <c r="DH234" s="97"/>
      <c r="DI234" s="97"/>
      <c r="DJ234" s="97"/>
      <c r="DK234" s="97"/>
      <c r="DL234" s="97"/>
      <c r="DM234" s="97"/>
      <c r="DN234" s="97"/>
      <c r="DO234" s="97"/>
      <c r="DP234" s="97"/>
      <c r="DQ234" s="97"/>
      <c r="DR234" s="97"/>
      <c r="DS234" s="97"/>
      <c r="DT234" s="97"/>
      <c r="DU234" s="97"/>
      <c r="DV234" s="97"/>
      <c r="DW234" s="97"/>
      <c r="DX234" s="97"/>
    </row>
    <row r="235" ht="14.25" customHeight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  <c r="AA235" s="97"/>
      <c r="AB235" s="97"/>
      <c r="AC235" s="97"/>
      <c r="AD235" s="97"/>
      <c r="AE235" s="97"/>
      <c r="AF235" s="97"/>
      <c r="AG235" s="97"/>
      <c r="AH235" s="97"/>
      <c r="AI235" s="97"/>
      <c r="AJ235" s="97"/>
      <c r="AK235" s="97"/>
      <c r="AL235" s="97"/>
      <c r="AM235" s="97"/>
      <c r="AN235" s="97"/>
      <c r="AO235" s="97"/>
      <c r="AP235" s="97"/>
      <c r="AQ235" s="97"/>
      <c r="AR235" s="97"/>
      <c r="AS235" s="97"/>
      <c r="AT235" s="97"/>
      <c r="AU235" s="97"/>
      <c r="AV235" s="97"/>
      <c r="AW235" s="97"/>
      <c r="AX235" s="97"/>
      <c r="AY235" s="97"/>
      <c r="AZ235" s="97"/>
      <c r="BA235" s="97"/>
      <c r="BB235" s="97"/>
      <c r="BC235" s="97"/>
      <c r="BD235" s="97"/>
      <c r="BE235" s="97"/>
      <c r="BF235" s="97"/>
      <c r="BG235" s="97"/>
      <c r="BH235" s="97"/>
      <c r="BI235" s="97"/>
      <c r="BJ235" s="97"/>
      <c r="BK235" s="97"/>
      <c r="BL235" s="97"/>
      <c r="BM235" s="97"/>
      <c r="BN235" s="97"/>
      <c r="BO235" s="97"/>
      <c r="BP235" s="97"/>
      <c r="BQ235" s="97"/>
      <c r="BR235" s="97"/>
      <c r="BS235" s="97"/>
      <c r="BT235" s="97"/>
      <c r="BU235" s="97"/>
      <c r="BV235" s="97"/>
      <c r="BW235" s="97"/>
      <c r="BX235" s="97"/>
      <c r="BY235" s="97"/>
      <c r="BZ235" s="97"/>
      <c r="CA235" s="97"/>
      <c r="CB235" s="97"/>
      <c r="CC235" s="97"/>
      <c r="CD235" s="97"/>
      <c r="CE235" s="97"/>
      <c r="CF235" s="97"/>
      <c r="CG235" s="97"/>
      <c r="CH235" s="97"/>
      <c r="CI235" s="97"/>
      <c r="CJ235" s="97"/>
      <c r="CK235" s="97"/>
      <c r="CL235" s="97"/>
      <c r="CM235" s="97"/>
      <c r="CN235" s="97"/>
      <c r="CO235" s="97"/>
      <c r="CP235" s="97"/>
      <c r="CQ235" s="97"/>
      <c r="CR235" s="97"/>
      <c r="CS235" s="97"/>
      <c r="CT235" s="97"/>
      <c r="CU235" s="97"/>
      <c r="CV235" s="97"/>
      <c r="CW235" s="97"/>
      <c r="CX235" s="97"/>
      <c r="CY235" s="97"/>
      <c r="CZ235" s="97"/>
      <c r="DA235" s="97"/>
      <c r="DB235" s="97"/>
      <c r="DC235" s="97"/>
      <c r="DD235" s="97"/>
      <c r="DE235" s="97"/>
      <c r="DF235" s="97"/>
      <c r="DG235" s="97"/>
      <c r="DH235" s="97"/>
      <c r="DI235" s="97"/>
      <c r="DJ235" s="97"/>
      <c r="DK235" s="97"/>
      <c r="DL235" s="97"/>
      <c r="DM235" s="97"/>
      <c r="DN235" s="97"/>
      <c r="DO235" s="97"/>
      <c r="DP235" s="97"/>
      <c r="DQ235" s="97"/>
      <c r="DR235" s="97"/>
      <c r="DS235" s="97"/>
      <c r="DT235" s="97"/>
      <c r="DU235" s="97"/>
      <c r="DV235" s="97"/>
      <c r="DW235" s="97"/>
      <c r="DX235" s="97"/>
    </row>
    <row r="236" ht="14.25" customHeight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  <c r="AA236" s="97"/>
      <c r="AB236" s="97"/>
      <c r="AC236" s="97"/>
      <c r="AD236" s="97"/>
      <c r="AE236" s="97"/>
      <c r="AF236" s="97"/>
      <c r="AG236" s="97"/>
      <c r="AH236" s="97"/>
      <c r="AI236" s="97"/>
      <c r="AJ236" s="97"/>
      <c r="AK236" s="97"/>
      <c r="AL236" s="97"/>
      <c r="AM236" s="97"/>
      <c r="AN236" s="97"/>
      <c r="AO236" s="97"/>
      <c r="AP236" s="97"/>
      <c r="AQ236" s="97"/>
      <c r="AR236" s="97"/>
      <c r="AS236" s="97"/>
      <c r="AT236" s="97"/>
      <c r="AU236" s="97"/>
      <c r="AV236" s="97"/>
      <c r="AW236" s="97"/>
      <c r="AX236" s="97"/>
      <c r="AY236" s="97"/>
      <c r="AZ236" s="97"/>
      <c r="BA236" s="97"/>
      <c r="BB236" s="97"/>
      <c r="BC236" s="97"/>
      <c r="BD236" s="97"/>
      <c r="BE236" s="97"/>
      <c r="BF236" s="97"/>
      <c r="BG236" s="97"/>
      <c r="BH236" s="97"/>
      <c r="BI236" s="97"/>
      <c r="BJ236" s="97"/>
      <c r="BK236" s="97"/>
      <c r="BL236" s="97"/>
      <c r="BM236" s="97"/>
      <c r="BN236" s="97"/>
      <c r="BO236" s="97"/>
      <c r="BP236" s="97"/>
      <c r="BQ236" s="97"/>
      <c r="BR236" s="97"/>
      <c r="BS236" s="97"/>
      <c r="BT236" s="97"/>
      <c r="BU236" s="97"/>
      <c r="BV236" s="97"/>
      <c r="BW236" s="97"/>
      <c r="BX236" s="97"/>
      <c r="BY236" s="97"/>
      <c r="BZ236" s="97"/>
      <c r="CA236" s="97"/>
      <c r="CB236" s="97"/>
      <c r="CC236" s="97"/>
      <c r="CD236" s="97"/>
      <c r="CE236" s="97"/>
      <c r="CF236" s="97"/>
      <c r="CG236" s="97"/>
      <c r="CH236" s="97"/>
      <c r="CI236" s="97"/>
      <c r="CJ236" s="97"/>
      <c r="CK236" s="97"/>
      <c r="CL236" s="97"/>
      <c r="CM236" s="97"/>
      <c r="CN236" s="97"/>
      <c r="CO236" s="97"/>
      <c r="CP236" s="97"/>
      <c r="CQ236" s="97"/>
      <c r="CR236" s="97"/>
      <c r="CS236" s="97"/>
      <c r="CT236" s="97"/>
      <c r="CU236" s="97"/>
      <c r="CV236" s="97"/>
      <c r="CW236" s="97"/>
      <c r="CX236" s="97"/>
      <c r="CY236" s="97"/>
      <c r="CZ236" s="97"/>
      <c r="DA236" s="97"/>
      <c r="DB236" s="97"/>
      <c r="DC236" s="97"/>
      <c r="DD236" s="97"/>
      <c r="DE236" s="97"/>
      <c r="DF236" s="97"/>
      <c r="DG236" s="97"/>
      <c r="DH236" s="97"/>
      <c r="DI236" s="97"/>
      <c r="DJ236" s="97"/>
      <c r="DK236" s="97"/>
      <c r="DL236" s="97"/>
      <c r="DM236" s="97"/>
      <c r="DN236" s="97"/>
      <c r="DO236" s="97"/>
      <c r="DP236" s="97"/>
      <c r="DQ236" s="97"/>
      <c r="DR236" s="97"/>
      <c r="DS236" s="97"/>
      <c r="DT236" s="97"/>
      <c r="DU236" s="97"/>
      <c r="DV236" s="97"/>
      <c r="DW236" s="97"/>
      <c r="DX236" s="97"/>
    </row>
    <row r="237" ht="14.25" customHeight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  <c r="AA237" s="97"/>
      <c r="AB237" s="97"/>
      <c r="AC237" s="97"/>
      <c r="AD237" s="97"/>
      <c r="AE237" s="97"/>
      <c r="AF237" s="97"/>
      <c r="AG237" s="97"/>
      <c r="AH237" s="97"/>
      <c r="AI237" s="97"/>
      <c r="AJ237" s="97"/>
      <c r="AK237" s="97"/>
      <c r="AL237" s="97"/>
      <c r="AM237" s="97"/>
      <c r="AN237" s="97"/>
      <c r="AO237" s="97"/>
      <c r="AP237" s="97"/>
      <c r="AQ237" s="97"/>
      <c r="AR237" s="97"/>
      <c r="AS237" s="97"/>
      <c r="AT237" s="97"/>
      <c r="AU237" s="97"/>
      <c r="AV237" s="97"/>
      <c r="AW237" s="97"/>
      <c r="AX237" s="97"/>
      <c r="AY237" s="97"/>
      <c r="AZ237" s="97"/>
      <c r="BA237" s="97"/>
      <c r="BB237" s="97"/>
      <c r="BC237" s="97"/>
      <c r="BD237" s="97"/>
      <c r="BE237" s="97"/>
      <c r="BF237" s="97"/>
      <c r="BG237" s="97"/>
      <c r="BH237" s="97"/>
      <c r="BI237" s="97"/>
      <c r="BJ237" s="97"/>
      <c r="BK237" s="97"/>
      <c r="BL237" s="97"/>
      <c r="BM237" s="97"/>
      <c r="BN237" s="97"/>
      <c r="BO237" s="97"/>
      <c r="BP237" s="97"/>
      <c r="BQ237" s="97"/>
      <c r="BR237" s="97"/>
      <c r="BS237" s="97"/>
      <c r="BT237" s="97"/>
      <c r="BU237" s="97"/>
      <c r="BV237" s="97"/>
      <c r="BW237" s="97"/>
      <c r="BX237" s="97"/>
      <c r="BY237" s="97"/>
      <c r="BZ237" s="97"/>
      <c r="CA237" s="97"/>
      <c r="CB237" s="97"/>
      <c r="CC237" s="97"/>
      <c r="CD237" s="97"/>
      <c r="CE237" s="97"/>
      <c r="CF237" s="97"/>
      <c r="CG237" s="97"/>
      <c r="CH237" s="97"/>
      <c r="CI237" s="97"/>
      <c r="CJ237" s="97"/>
      <c r="CK237" s="97"/>
      <c r="CL237" s="97"/>
      <c r="CM237" s="97"/>
      <c r="CN237" s="97"/>
      <c r="CO237" s="97"/>
      <c r="CP237" s="97"/>
      <c r="CQ237" s="97"/>
      <c r="CR237" s="97"/>
      <c r="CS237" s="97"/>
      <c r="CT237" s="97"/>
      <c r="CU237" s="97"/>
      <c r="CV237" s="97"/>
      <c r="CW237" s="97"/>
      <c r="CX237" s="97"/>
      <c r="CY237" s="97"/>
      <c r="CZ237" s="97"/>
      <c r="DA237" s="97"/>
      <c r="DB237" s="97"/>
      <c r="DC237" s="97"/>
      <c r="DD237" s="97"/>
      <c r="DE237" s="97"/>
      <c r="DF237" s="97"/>
      <c r="DG237" s="97"/>
      <c r="DH237" s="97"/>
      <c r="DI237" s="97"/>
      <c r="DJ237" s="97"/>
      <c r="DK237" s="97"/>
      <c r="DL237" s="97"/>
      <c r="DM237" s="97"/>
      <c r="DN237" s="97"/>
      <c r="DO237" s="97"/>
      <c r="DP237" s="97"/>
      <c r="DQ237" s="97"/>
      <c r="DR237" s="97"/>
      <c r="DS237" s="97"/>
      <c r="DT237" s="97"/>
      <c r="DU237" s="97"/>
      <c r="DV237" s="97"/>
      <c r="DW237" s="97"/>
      <c r="DX237" s="97"/>
    </row>
    <row r="238" ht="14.25" customHeight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  <c r="AA238" s="97"/>
      <c r="AB238" s="97"/>
      <c r="AC238" s="97"/>
      <c r="AD238" s="97"/>
      <c r="AE238" s="97"/>
      <c r="AF238" s="97"/>
      <c r="AG238" s="97"/>
      <c r="AH238" s="97"/>
      <c r="AI238" s="97"/>
      <c r="AJ238" s="97"/>
      <c r="AK238" s="97"/>
      <c r="AL238" s="97"/>
      <c r="AM238" s="97"/>
      <c r="AN238" s="97"/>
      <c r="AO238" s="97"/>
      <c r="AP238" s="97"/>
      <c r="AQ238" s="97"/>
      <c r="AR238" s="97"/>
      <c r="AS238" s="97"/>
      <c r="AT238" s="97"/>
      <c r="AU238" s="97"/>
      <c r="AV238" s="97"/>
      <c r="AW238" s="97"/>
      <c r="AX238" s="97"/>
      <c r="AY238" s="97"/>
      <c r="AZ238" s="97"/>
      <c r="BA238" s="97"/>
      <c r="BB238" s="97"/>
      <c r="BC238" s="97"/>
      <c r="BD238" s="97"/>
      <c r="BE238" s="97"/>
      <c r="BF238" s="97"/>
      <c r="BG238" s="97"/>
      <c r="BH238" s="97"/>
      <c r="BI238" s="97"/>
      <c r="BJ238" s="97"/>
      <c r="BK238" s="97"/>
      <c r="BL238" s="97"/>
      <c r="BM238" s="97"/>
      <c r="BN238" s="97"/>
      <c r="BO238" s="97"/>
      <c r="BP238" s="97"/>
      <c r="BQ238" s="97"/>
      <c r="BR238" s="97"/>
      <c r="BS238" s="97"/>
      <c r="BT238" s="97"/>
      <c r="BU238" s="97"/>
      <c r="BV238" s="97"/>
      <c r="BW238" s="97"/>
      <c r="BX238" s="97"/>
      <c r="BY238" s="97"/>
      <c r="BZ238" s="97"/>
      <c r="CA238" s="97"/>
      <c r="CB238" s="97"/>
      <c r="CC238" s="97"/>
      <c r="CD238" s="97"/>
      <c r="CE238" s="97"/>
      <c r="CF238" s="97"/>
      <c r="CG238" s="97"/>
      <c r="CH238" s="97"/>
      <c r="CI238" s="97"/>
      <c r="CJ238" s="97"/>
      <c r="CK238" s="97"/>
      <c r="CL238" s="97"/>
      <c r="CM238" s="97"/>
      <c r="CN238" s="97"/>
      <c r="CO238" s="97"/>
      <c r="CP238" s="97"/>
      <c r="CQ238" s="97"/>
      <c r="CR238" s="97"/>
      <c r="CS238" s="97"/>
      <c r="CT238" s="97"/>
      <c r="CU238" s="97"/>
      <c r="CV238" s="97"/>
      <c r="CW238" s="97"/>
      <c r="CX238" s="97"/>
      <c r="CY238" s="97"/>
      <c r="CZ238" s="97"/>
      <c r="DA238" s="97"/>
      <c r="DB238" s="97"/>
      <c r="DC238" s="97"/>
      <c r="DD238" s="97"/>
      <c r="DE238" s="97"/>
      <c r="DF238" s="97"/>
      <c r="DG238" s="97"/>
      <c r="DH238" s="97"/>
      <c r="DI238" s="97"/>
      <c r="DJ238" s="97"/>
      <c r="DK238" s="97"/>
      <c r="DL238" s="97"/>
      <c r="DM238" s="97"/>
      <c r="DN238" s="97"/>
      <c r="DO238" s="97"/>
      <c r="DP238" s="97"/>
      <c r="DQ238" s="97"/>
      <c r="DR238" s="97"/>
      <c r="DS238" s="97"/>
      <c r="DT238" s="97"/>
      <c r="DU238" s="97"/>
      <c r="DV238" s="97"/>
      <c r="DW238" s="97"/>
      <c r="DX238" s="97"/>
    </row>
    <row r="239" ht="14.25" customHeight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  <c r="AA239" s="97"/>
      <c r="AB239" s="97"/>
      <c r="AC239" s="97"/>
      <c r="AD239" s="97"/>
      <c r="AE239" s="97"/>
      <c r="AF239" s="97"/>
      <c r="AG239" s="97"/>
      <c r="AH239" s="97"/>
      <c r="AI239" s="97"/>
      <c r="AJ239" s="97"/>
      <c r="AK239" s="97"/>
      <c r="AL239" s="97"/>
      <c r="AM239" s="97"/>
      <c r="AN239" s="97"/>
      <c r="AO239" s="97"/>
      <c r="AP239" s="97"/>
      <c r="AQ239" s="97"/>
      <c r="AR239" s="97"/>
      <c r="AS239" s="97"/>
      <c r="AT239" s="97"/>
      <c r="AU239" s="97"/>
      <c r="AV239" s="97"/>
      <c r="AW239" s="97"/>
      <c r="AX239" s="97"/>
      <c r="AY239" s="97"/>
      <c r="AZ239" s="97"/>
      <c r="BA239" s="97"/>
      <c r="BB239" s="97"/>
      <c r="BC239" s="97"/>
      <c r="BD239" s="97"/>
      <c r="BE239" s="97"/>
      <c r="BF239" s="97"/>
      <c r="BG239" s="97"/>
      <c r="BH239" s="97"/>
      <c r="BI239" s="97"/>
      <c r="BJ239" s="97"/>
      <c r="BK239" s="97"/>
      <c r="BL239" s="97"/>
      <c r="BM239" s="97"/>
      <c r="BN239" s="97"/>
      <c r="BO239" s="97"/>
      <c r="BP239" s="97"/>
      <c r="BQ239" s="97"/>
      <c r="BR239" s="97"/>
      <c r="BS239" s="97"/>
      <c r="BT239" s="97"/>
      <c r="BU239" s="97"/>
      <c r="BV239" s="97"/>
      <c r="BW239" s="97"/>
      <c r="BX239" s="97"/>
      <c r="BY239" s="97"/>
      <c r="BZ239" s="97"/>
      <c r="CA239" s="97"/>
      <c r="CB239" s="97"/>
      <c r="CC239" s="97"/>
      <c r="CD239" s="97"/>
      <c r="CE239" s="97"/>
      <c r="CF239" s="97"/>
      <c r="CG239" s="97"/>
      <c r="CH239" s="97"/>
      <c r="CI239" s="97"/>
      <c r="CJ239" s="97"/>
      <c r="CK239" s="97"/>
      <c r="CL239" s="97"/>
      <c r="CM239" s="97"/>
      <c r="CN239" s="97"/>
      <c r="CO239" s="97"/>
      <c r="CP239" s="97"/>
      <c r="CQ239" s="97"/>
      <c r="CR239" s="97"/>
      <c r="CS239" s="97"/>
      <c r="CT239" s="97"/>
      <c r="CU239" s="97"/>
      <c r="CV239" s="97"/>
      <c r="CW239" s="97"/>
      <c r="CX239" s="97"/>
      <c r="CY239" s="97"/>
      <c r="CZ239" s="97"/>
      <c r="DA239" s="97"/>
      <c r="DB239" s="97"/>
      <c r="DC239" s="97"/>
      <c r="DD239" s="97"/>
      <c r="DE239" s="97"/>
      <c r="DF239" s="97"/>
      <c r="DG239" s="97"/>
      <c r="DH239" s="97"/>
      <c r="DI239" s="97"/>
      <c r="DJ239" s="97"/>
      <c r="DK239" s="97"/>
      <c r="DL239" s="97"/>
      <c r="DM239" s="97"/>
      <c r="DN239" s="97"/>
      <c r="DO239" s="97"/>
      <c r="DP239" s="97"/>
      <c r="DQ239" s="97"/>
      <c r="DR239" s="97"/>
      <c r="DS239" s="97"/>
      <c r="DT239" s="97"/>
      <c r="DU239" s="97"/>
      <c r="DV239" s="97"/>
      <c r="DW239" s="97"/>
      <c r="DX239" s="97"/>
    </row>
    <row r="240" ht="14.25" customHeight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  <c r="AA240" s="97"/>
      <c r="AB240" s="97"/>
      <c r="AC240" s="97"/>
      <c r="AD240" s="97"/>
      <c r="AE240" s="97"/>
      <c r="AF240" s="97"/>
      <c r="AG240" s="97"/>
      <c r="AH240" s="97"/>
      <c r="AI240" s="97"/>
      <c r="AJ240" s="97"/>
      <c r="AK240" s="97"/>
      <c r="AL240" s="97"/>
      <c r="AM240" s="97"/>
      <c r="AN240" s="97"/>
      <c r="AO240" s="97"/>
      <c r="AP240" s="97"/>
      <c r="AQ240" s="97"/>
      <c r="AR240" s="97"/>
      <c r="AS240" s="97"/>
      <c r="AT240" s="97"/>
      <c r="AU240" s="97"/>
      <c r="AV240" s="97"/>
      <c r="AW240" s="97"/>
      <c r="AX240" s="97"/>
      <c r="AY240" s="97"/>
      <c r="AZ240" s="97"/>
      <c r="BA240" s="97"/>
      <c r="BB240" s="97"/>
      <c r="BC240" s="97"/>
      <c r="BD240" s="97"/>
      <c r="BE240" s="97"/>
      <c r="BF240" s="97"/>
      <c r="BG240" s="97"/>
      <c r="BH240" s="97"/>
      <c r="BI240" s="97"/>
      <c r="BJ240" s="97"/>
      <c r="BK240" s="97"/>
      <c r="BL240" s="97"/>
      <c r="BM240" s="97"/>
      <c r="BN240" s="97"/>
      <c r="BO240" s="97"/>
      <c r="BP240" s="97"/>
      <c r="BQ240" s="97"/>
      <c r="BR240" s="97"/>
      <c r="BS240" s="97"/>
      <c r="BT240" s="97"/>
      <c r="BU240" s="97"/>
      <c r="BV240" s="97"/>
      <c r="BW240" s="97"/>
      <c r="BX240" s="97"/>
      <c r="BY240" s="97"/>
      <c r="BZ240" s="97"/>
      <c r="CA240" s="97"/>
      <c r="CB240" s="97"/>
      <c r="CC240" s="97"/>
      <c r="CD240" s="97"/>
      <c r="CE240" s="97"/>
      <c r="CF240" s="97"/>
      <c r="CG240" s="97"/>
      <c r="CH240" s="97"/>
      <c r="CI240" s="97"/>
      <c r="CJ240" s="97"/>
      <c r="CK240" s="97"/>
      <c r="CL240" s="97"/>
      <c r="CM240" s="97"/>
      <c r="CN240" s="97"/>
      <c r="CO240" s="97"/>
      <c r="CP240" s="97"/>
      <c r="CQ240" s="97"/>
      <c r="CR240" s="97"/>
      <c r="CS240" s="97"/>
      <c r="CT240" s="97"/>
      <c r="CU240" s="97"/>
      <c r="CV240" s="97"/>
      <c r="CW240" s="97"/>
      <c r="CX240" s="97"/>
      <c r="CY240" s="97"/>
      <c r="CZ240" s="97"/>
      <c r="DA240" s="97"/>
      <c r="DB240" s="97"/>
      <c r="DC240" s="97"/>
      <c r="DD240" s="97"/>
      <c r="DE240" s="97"/>
      <c r="DF240" s="97"/>
      <c r="DG240" s="97"/>
      <c r="DH240" s="97"/>
      <c r="DI240" s="97"/>
      <c r="DJ240" s="97"/>
      <c r="DK240" s="97"/>
      <c r="DL240" s="97"/>
      <c r="DM240" s="97"/>
      <c r="DN240" s="97"/>
      <c r="DO240" s="97"/>
      <c r="DP240" s="97"/>
      <c r="DQ240" s="97"/>
      <c r="DR240" s="97"/>
      <c r="DS240" s="97"/>
      <c r="DT240" s="97"/>
      <c r="DU240" s="97"/>
      <c r="DV240" s="97"/>
      <c r="DW240" s="97"/>
      <c r="DX240" s="97"/>
    </row>
    <row r="241" ht="14.25" customHeight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  <c r="AA241" s="97"/>
      <c r="AB241" s="97"/>
      <c r="AC241" s="97"/>
      <c r="AD241" s="97"/>
      <c r="AE241" s="97"/>
      <c r="AF241" s="97"/>
      <c r="AG241" s="97"/>
      <c r="AH241" s="97"/>
      <c r="AI241" s="97"/>
      <c r="AJ241" s="97"/>
      <c r="AK241" s="97"/>
      <c r="AL241" s="97"/>
      <c r="AM241" s="97"/>
      <c r="AN241" s="97"/>
      <c r="AO241" s="97"/>
      <c r="AP241" s="97"/>
      <c r="AQ241" s="97"/>
      <c r="AR241" s="97"/>
      <c r="AS241" s="97"/>
      <c r="AT241" s="97"/>
      <c r="AU241" s="97"/>
      <c r="AV241" s="97"/>
      <c r="AW241" s="97"/>
      <c r="AX241" s="97"/>
      <c r="AY241" s="97"/>
      <c r="AZ241" s="97"/>
      <c r="BA241" s="97"/>
      <c r="BB241" s="97"/>
      <c r="BC241" s="97"/>
      <c r="BD241" s="97"/>
      <c r="BE241" s="97"/>
      <c r="BF241" s="97"/>
      <c r="BG241" s="97"/>
      <c r="BH241" s="97"/>
      <c r="BI241" s="97"/>
      <c r="BJ241" s="97"/>
      <c r="BK241" s="97"/>
      <c r="BL241" s="97"/>
      <c r="BM241" s="97"/>
      <c r="BN241" s="97"/>
      <c r="BO241" s="97"/>
      <c r="BP241" s="97"/>
      <c r="BQ241" s="97"/>
      <c r="BR241" s="97"/>
      <c r="BS241" s="97"/>
      <c r="BT241" s="97"/>
      <c r="BU241" s="97"/>
      <c r="BV241" s="97"/>
      <c r="BW241" s="97"/>
      <c r="BX241" s="97"/>
      <c r="BY241" s="97"/>
      <c r="BZ241" s="97"/>
      <c r="CA241" s="97"/>
      <c r="CB241" s="97"/>
      <c r="CC241" s="97"/>
      <c r="CD241" s="97"/>
      <c r="CE241" s="97"/>
      <c r="CF241" s="97"/>
      <c r="CG241" s="97"/>
      <c r="CH241" s="97"/>
      <c r="CI241" s="97"/>
      <c r="CJ241" s="97"/>
      <c r="CK241" s="97"/>
      <c r="CL241" s="97"/>
      <c r="CM241" s="97"/>
      <c r="CN241" s="97"/>
      <c r="CO241" s="97"/>
      <c r="CP241" s="97"/>
      <c r="CQ241" s="97"/>
      <c r="CR241" s="97"/>
      <c r="CS241" s="97"/>
      <c r="CT241" s="97"/>
      <c r="CU241" s="97"/>
      <c r="CV241" s="97"/>
      <c r="CW241" s="97"/>
      <c r="CX241" s="97"/>
      <c r="CY241" s="97"/>
      <c r="CZ241" s="97"/>
      <c r="DA241" s="97"/>
      <c r="DB241" s="97"/>
      <c r="DC241" s="97"/>
      <c r="DD241" s="97"/>
      <c r="DE241" s="97"/>
      <c r="DF241" s="97"/>
      <c r="DG241" s="97"/>
      <c r="DH241" s="97"/>
      <c r="DI241" s="97"/>
      <c r="DJ241" s="97"/>
      <c r="DK241" s="97"/>
      <c r="DL241" s="97"/>
      <c r="DM241" s="97"/>
      <c r="DN241" s="97"/>
      <c r="DO241" s="97"/>
      <c r="DP241" s="97"/>
      <c r="DQ241" s="97"/>
      <c r="DR241" s="97"/>
      <c r="DS241" s="97"/>
      <c r="DT241" s="97"/>
      <c r="DU241" s="97"/>
      <c r="DV241" s="97"/>
      <c r="DW241" s="97"/>
      <c r="DX241" s="97"/>
    </row>
    <row r="242" ht="14.25" customHeight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  <c r="AA242" s="97"/>
      <c r="AB242" s="97"/>
      <c r="AC242" s="97"/>
      <c r="AD242" s="97"/>
      <c r="AE242" s="97"/>
      <c r="AF242" s="97"/>
      <c r="AG242" s="97"/>
      <c r="AH242" s="97"/>
      <c r="AI242" s="97"/>
      <c r="AJ242" s="97"/>
      <c r="AK242" s="97"/>
      <c r="AL242" s="97"/>
      <c r="AM242" s="97"/>
      <c r="AN242" s="97"/>
      <c r="AO242" s="97"/>
      <c r="AP242" s="97"/>
      <c r="AQ242" s="97"/>
      <c r="AR242" s="97"/>
      <c r="AS242" s="97"/>
      <c r="AT242" s="97"/>
      <c r="AU242" s="97"/>
      <c r="AV242" s="97"/>
      <c r="AW242" s="97"/>
      <c r="AX242" s="97"/>
      <c r="AY242" s="97"/>
      <c r="AZ242" s="97"/>
      <c r="BA242" s="97"/>
      <c r="BB242" s="97"/>
      <c r="BC242" s="97"/>
      <c r="BD242" s="97"/>
      <c r="BE242" s="97"/>
      <c r="BF242" s="97"/>
      <c r="BG242" s="97"/>
      <c r="BH242" s="97"/>
      <c r="BI242" s="97"/>
      <c r="BJ242" s="97"/>
      <c r="BK242" s="97"/>
      <c r="BL242" s="97"/>
      <c r="BM242" s="97"/>
      <c r="BN242" s="97"/>
      <c r="BO242" s="97"/>
      <c r="BP242" s="97"/>
      <c r="BQ242" s="97"/>
      <c r="BR242" s="97"/>
      <c r="BS242" s="97"/>
      <c r="BT242" s="97"/>
      <c r="BU242" s="97"/>
      <c r="BV242" s="97"/>
      <c r="BW242" s="97"/>
      <c r="BX242" s="97"/>
      <c r="BY242" s="97"/>
      <c r="BZ242" s="97"/>
      <c r="CA242" s="97"/>
      <c r="CB242" s="97"/>
      <c r="CC242" s="97"/>
      <c r="CD242" s="97"/>
      <c r="CE242" s="97"/>
      <c r="CF242" s="97"/>
      <c r="CG242" s="97"/>
      <c r="CH242" s="97"/>
      <c r="CI242" s="97"/>
      <c r="CJ242" s="97"/>
      <c r="CK242" s="97"/>
      <c r="CL242" s="97"/>
      <c r="CM242" s="97"/>
      <c r="CN242" s="97"/>
      <c r="CO242" s="97"/>
      <c r="CP242" s="97"/>
      <c r="CQ242" s="97"/>
      <c r="CR242" s="97"/>
      <c r="CS242" s="97"/>
      <c r="CT242" s="97"/>
      <c r="CU242" s="97"/>
      <c r="CV242" s="97"/>
      <c r="CW242" s="97"/>
      <c r="CX242" s="97"/>
      <c r="CY242" s="97"/>
      <c r="CZ242" s="97"/>
      <c r="DA242" s="97"/>
      <c r="DB242" s="97"/>
      <c r="DC242" s="97"/>
      <c r="DD242" s="97"/>
      <c r="DE242" s="97"/>
      <c r="DF242" s="97"/>
      <c r="DG242" s="97"/>
      <c r="DH242" s="97"/>
      <c r="DI242" s="97"/>
      <c r="DJ242" s="97"/>
      <c r="DK242" s="97"/>
      <c r="DL242" s="97"/>
      <c r="DM242" s="97"/>
      <c r="DN242" s="97"/>
      <c r="DO242" s="97"/>
      <c r="DP242" s="97"/>
      <c r="DQ242" s="97"/>
      <c r="DR242" s="97"/>
      <c r="DS242" s="97"/>
      <c r="DT242" s="97"/>
      <c r="DU242" s="97"/>
      <c r="DV242" s="97"/>
      <c r="DW242" s="97"/>
      <c r="DX242" s="97"/>
    </row>
    <row r="243" ht="14.25" customHeight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  <c r="AA243" s="97"/>
      <c r="AB243" s="97"/>
      <c r="AC243" s="97"/>
      <c r="AD243" s="97"/>
      <c r="AE243" s="97"/>
      <c r="AF243" s="97"/>
      <c r="AG243" s="97"/>
      <c r="AH243" s="97"/>
      <c r="AI243" s="97"/>
      <c r="AJ243" s="97"/>
      <c r="AK243" s="97"/>
      <c r="AL243" s="97"/>
      <c r="AM243" s="97"/>
      <c r="AN243" s="97"/>
      <c r="AO243" s="97"/>
      <c r="AP243" s="97"/>
      <c r="AQ243" s="97"/>
      <c r="AR243" s="97"/>
      <c r="AS243" s="97"/>
      <c r="AT243" s="97"/>
      <c r="AU243" s="97"/>
      <c r="AV243" s="97"/>
      <c r="AW243" s="97"/>
      <c r="AX243" s="97"/>
      <c r="AY243" s="97"/>
      <c r="AZ243" s="97"/>
      <c r="BA243" s="97"/>
      <c r="BB243" s="97"/>
      <c r="BC243" s="97"/>
      <c r="BD243" s="97"/>
      <c r="BE243" s="97"/>
      <c r="BF243" s="97"/>
      <c r="BG243" s="97"/>
      <c r="BH243" s="97"/>
      <c r="BI243" s="97"/>
      <c r="BJ243" s="97"/>
      <c r="BK243" s="97"/>
      <c r="BL243" s="97"/>
      <c r="BM243" s="97"/>
      <c r="BN243" s="97"/>
      <c r="BO243" s="97"/>
      <c r="BP243" s="97"/>
      <c r="BQ243" s="97"/>
      <c r="BR243" s="97"/>
      <c r="BS243" s="97"/>
      <c r="BT243" s="97"/>
      <c r="BU243" s="97"/>
      <c r="BV243" s="97"/>
      <c r="BW243" s="97"/>
      <c r="BX243" s="97"/>
      <c r="BY243" s="97"/>
      <c r="BZ243" s="97"/>
      <c r="CA243" s="97"/>
      <c r="CB243" s="97"/>
      <c r="CC243" s="97"/>
      <c r="CD243" s="97"/>
      <c r="CE243" s="97"/>
      <c r="CF243" s="97"/>
      <c r="CG243" s="97"/>
      <c r="CH243" s="97"/>
      <c r="CI243" s="97"/>
      <c r="CJ243" s="97"/>
      <c r="CK243" s="97"/>
      <c r="CL243" s="97"/>
      <c r="CM243" s="97"/>
      <c r="CN243" s="97"/>
      <c r="CO243" s="97"/>
      <c r="CP243" s="97"/>
      <c r="CQ243" s="97"/>
      <c r="CR243" s="97"/>
      <c r="CS243" s="97"/>
      <c r="CT243" s="97"/>
      <c r="CU243" s="97"/>
      <c r="CV243" s="97"/>
      <c r="CW243" s="97"/>
      <c r="CX243" s="97"/>
      <c r="CY243" s="97"/>
      <c r="CZ243" s="97"/>
      <c r="DA243" s="97"/>
      <c r="DB243" s="97"/>
      <c r="DC243" s="97"/>
      <c r="DD243" s="97"/>
      <c r="DE243" s="97"/>
      <c r="DF243" s="97"/>
      <c r="DG243" s="97"/>
      <c r="DH243" s="97"/>
      <c r="DI243" s="97"/>
      <c r="DJ243" s="97"/>
      <c r="DK243" s="97"/>
      <c r="DL243" s="97"/>
      <c r="DM243" s="97"/>
      <c r="DN243" s="97"/>
      <c r="DO243" s="97"/>
      <c r="DP243" s="97"/>
      <c r="DQ243" s="97"/>
      <c r="DR243" s="97"/>
      <c r="DS243" s="97"/>
      <c r="DT243" s="97"/>
      <c r="DU243" s="97"/>
      <c r="DV243" s="97"/>
      <c r="DW243" s="97"/>
      <c r="DX243" s="97"/>
    </row>
    <row r="244" ht="14.25" customHeight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  <c r="AA244" s="97"/>
      <c r="AB244" s="97"/>
      <c r="AC244" s="97"/>
      <c r="AD244" s="97"/>
      <c r="AE244" s="97"/>
      <c r="AF244" s="97"/>
      <c r="AG244" s="97"/>
      <c r="AH244" s="97"/>
      <c r="AI244" s="97"/>
      <c r="AJ244" s="97"/>
      <c r="AK244" s="97"/>
      <c r="AL244" s="97"/>
      <c r="AM244" s="97"/>
      <c r="AN244" s="97"/>
      <c r="AO244" s="97"/>
      <c r="AP244" s="97"/>
      <c r="AQ244" s="97"/>
      <c r="AR244" s="97"/>
      <c r="AS244" s="97"/>
      <c r="AT244" s="97"/>
      <c r="AU244" s="97"/>
      <c r="AV244" s="97"/>
      <c r="AW244" s="97"/>
      <c r="AX244" s="97"/>
      <c r="AY244" s="97"/>
      <c r="AZ244" s="97"/>
      <c r="BA244" s="97"/>
      <c r="BB244" s="97"/>
      <c r="BC244" s="97"/>
      <c r="BD244" s="97"/>
      <c r="BE244" s="97"/>
      <c r="BF244" s="97"/>
      <c r="BG244" s="97"/>
      <c r="BH244" s="97"/>
      <c r="BI244" s="97"/>
      <c r="BJ244" s="97"/>
      <c r="BK244" s="97"/>
      <c r="BL244" s="97"/>
      <c r="BM244" s="97"/>
      <c r="BN244" s="97"/>
      <c r="BO244" s="97"/>
      <c r="BP244" s="97"/>
      <c r="BQ244" s="97"/>
      <c r="BR244" s="97"/>
      <c r="BS244" s="97"/>
      <c r="BT244" s="97"/>
      <c r="BU244" s="97"/>
      <c r="BV244" s="97"/>
      <c r="BW244" s="97"/>
      <c r="BX244" s="97"/>
      <c r="BY244" s="97"/>
      <c r="BZ244" s="97"/>
      <c r="CA244" s="97"/>
      <c r="CB244" s="97"/>
      <c r="CC244" s="97"/>
      <c r="CD244" s="97"/>
      <c r="CE244" s="97"/>
      <c r="CF244" s="97"/>
      <c r="CG244" s="97"/>
      <c r="CH244" s="97"/>
      <c r="CI244" s="97"/>
      <c r="CJ244" s="97"/>
      <c r="CK244" s="97"/>
      <c r="CL244" s="97"/>
      <c r="CM244" s="97"/>
      <c r="CN244" s="97"/>
      <c r="CO244" s="97"/>
      <c r="CP244" s="97"/>
      <c r="CQ244" s="97"/>
      <c r="CR244" s="97"/>
      <c r="CS244" s="97"/>
      <c r="CT244" s="97"/>
      <c r="CU244" s="97"/>
      <c r="CV244" s="97"/>
      <c r="CW244" s="97"/>
      <c r="CX244" s="97"/>
      <c r="CY244" s="97"/>
      <c r="CZ244" s="97"/>
      <c r="DA244" s="97"/>
      <c r="DB244" s="97"/>
      <c r="DC244" s="97"/>
      <c r="DD244" s="97"/>
      <c r="DE244" s="97"/>
      <c r="DF244" s="97"/>
      <c r="DG244" s="97"/>
      <c r="DH244" s="97"/>
      <c r="DI244" s="97"/>
      <c r="DJ244" s="97"/>
      <c r="DK244" s="97"/>
      <c r="DL244" s="97"/>
      <c r="DM244" s="97"/>
      <c r="DN244" s="97"/>
      <c r="DO244" s="97"/>
      <c r="DP244" s="97"/>
      <c r="DQ244" s="97"/>
      <c r="DR244" s="97"/>
      <c r="DS244" s="97"/>
      <c r="DT244" s="97"/>
      <c r="DU244" s="97"/>
      <c r="DV244" s="97"/>
      <c r="DW244" s="97"/>
      <c r="DX244" s="97"/>
    </row>
    <row r="245" ht="14.25" customHeight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  <c r="AA245" s="97"/>
      <c r="AB245" s="97"/>
      <c r="AC245" s="97"/>
      <c r="AD245" s="97"/>
      <c r="AE245" s="97"/>
      <c r="AF245" s="97"/>
      <c r="AG245" s="97"/>
      <c r="AH245" s="97"/>
      <c r="AI245" s="97"/>
      <c r="AJ245" s="97"/>
      <c r="AK245" s="97"/>
      <c r="AL245" s="97"/>
      <c r="AM245" s="97"/>
      <c r="AN245" s="97"/>
      <c r="AO245" s="97"/>
      <c r="AP245" s="97"/>
      <c r="AQ245" s="97"/>
      <c r="AR245" s="97"/>
      <c r="AS245" s="97"/>
      <c r="AT245" s="97"/>
      <c r="AU245" s="97"/>
      <c r="AV245" s="97"/>
      <c r="AW245" s="97"/>
      <c r="AX245" s="97"/>
      <c r="AY245" s="97"/>
      <c r="AZ245" s="97"/>
      <c r="BA245" s="97"/>
      <c r="BB245" s="97"/>
      <c r="BC245" s="97"/>
      <c r="BD245" s="97"/>
      <c r="BE245" s="97"/>
      <c r="BF245" s="97"/>
      <c r="BG245" s="97"/>
      <c r="BH245" s="97"/>
      <c r="BI245" s="97"/>
      <c r="BJ245" s="97"/>
      <c r="BK245" s="97"/>
      <c r="BL245" s="97"/>
      <c r="BM245" s="97"/>
      <c r="BN245" s="97"/>
      <c r="BO245" s="97"/>
      <c r="BP245" s="97"/>
      <c r="BQ245" s="97"/>
      <c r="BR245" s="97"/>
      <c r="BS245" s="97"/>
      <c r="BT245" s="97"/>
      <c r="BU245" s="97"/>
      <c r="BV245" s="97"/>
      <c r="BW245" s="97"/>
      <c r="BX245" s="97"/>
      <c r="BY245" s="97"/>
      <c r="BZ245" s="97"/>
      <c r="CA245" s="97"/>
      <c r="CB245" s="97"/>
      <c r="CC245" s="97"/>
      <c r="CD245" s="97"/>
      <c r="CE245" s="97"/>
      <c r="CF245" s="97"/>
      <c r="CG245" s="97"/>
      <c r="CH245" s="97"/>
      <c r="CI245" s="97"/>
      <c r="CJ245" s="97"/>
      <c r="CK245" s="97"/>
      <c r="CL245" s="97"/>
      <c r="CM245" s="97"/>
      <c r="CN245" s="97"/>
      <c r="CO245" s="97"/>
      <c r="CP245" s="97"/>
      <c r="CQ245" s="97"/>
      <c r="CR245" s="97"/>
      <c r="CS245" s="97"/>
      <c r="CT245" s="97"/>
      <c r="CU245" s="97"/>
      <c r="CV245" s="97"/>
      <c r="CW245" s="97"/>
      <c r="CX245" s="97"/>
      <c r="CY245" s="97"/>
      <c r="CZ245" s="97"/>
      <c r="DA245" s="97"/>
      <c r="DB245" s="97"/>
      <c r="DC245" s="97"/>
      <c r="DD245" s="97"/>
      <c r="DE245" s="97"/>
      <c r="DF245" s="97"/>
      <c r="DG245" s="97"/>
      <c r="DH245" s="97"/>
      <c r="DI245" s="97"/>
      <c r="DJ245" s="97"/>
      <c r="DK245" s="97"/>
      <c r="DL245" s="97"/>
      <c r="DM245" s="97"/>
      <c r="DN245" s="97"/>
      <c r="DO245" s="97"/>
      <c r="DP245" s="97"/>
      <c r="DQ245" s="97"/>
      <c r="DR245" s="97"/>
      <c r="DS245" s="97"/>
      <c r="DT245" s="97"/>
      <c r="DU245" s="97"/>
      <c r="DV245" s="97"/>
      <c r="DW245" s="97"/>
      <c r="DX245" s="97"/>
    </row>
    <row r="246" ht="14.25" customHeight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  <c r="AA246" s="97"/>
      <c r="AB246" s="97"/>
      <c r="AC246" s="97"/>
      <c r="AD246" s="97"/>
      <c r="AE246" s="97"/>
      <c r="AF246" s="97"/>
      <c r="AG246" s="97"/>
      <c r="AH246" s="97"/>
      <c r="AI246" s="97"/>
      <c r="AJ246" s="97"/>
      <c r="AK246" s="97"/>
      <c r="AL246" s="97"/>
      <c r="AM246" s="97"/>
      <c r="AN246" s="97"/>
      <c r="AO246" s="97"/>
      <c r="AP246" s="97"/>
      <c r="AQ246" s="97"/>
      <c r="AR246" s="97"/>
      <c r="AS246" s="97"/>
      <c r="AT246" s="97"/>
      <c r="AU246" s="97"/>
      <c r="AV246" s="97"/>
      <c r="AW246" s="97"/>
      <c r="AX246" s="97"/>
      <c r="AY246" s="97"/>
      <c r="AZ246" s="97"/>
      <c r="BA246" s="97"/>
      <c r="BB246" s="97"/>
      <c r="BC246" s="97"/>
      <c r="BD246" s="97"/>
      <c r="BE246" s="97"/>
      <c r="BF246" s="97"/>
      <c r="BG246" s="97"/>
      <c r="BH246" s="97"/>
      <c r="BI246" s="97"/>
      <c r="BJ246" s="97"/>
      <c r="BK246" s="97"/>
      <c r="BL246" s="97"/>
      <c r="BM246" s="97"/>
      <c r="BN246" s="97"/>
      <c r="BO246" s="97"/>
      <c r="BP246" s="97"/>
      <c r="BQ246" s="97"/>
      <c r="BR246" s="97"/>
      <c r="BS246" s="97"/>
      <c r="BT246" s="97"/>
      <c r="BU246" s="97"/>
      <c r="BV246" s="97"/>
      <c r="BW246" s="97"/>
      <c r="BX246" s="97"/>
      <c r="BY246" s="97"/>
      <c r="BZ246" s="97"/>
      <c r="CA246" s="97"/>
      <c r="CB246" s="97"/>
      <c r="CC246" s="97"/>
      <c r="CD246" s="97"/>
      <c r="CE246" s="97"/>
      <c r="CF246" s="97"/>
      <c r="CG246" s="97"/>
      <c r="CH246" s="97"/>
      <c r="CI246" s="97"/>
      <c r="CJ246" s="97"/>
      <c r="CK246" s="97"/>
      <c r="CL246" s="97"/>
      <c r="CM246" s="97"/>
      <c r="CN246" s="97"/>
      <c r="CO246" s="97"/>
      <c r="CP246" s="97"/>
      <c r="CQ246" s="97"/>
      <c r="CR246" s="97"/>
      <c r="CS246" s="97"/>
      <c r="CT246" s="97"/>
      <c r="CU246" s="97"/>
      <c r="CV246" s="97"/>
      <c r="CW246" s="97"/>
      <c r="CX246" s="97"/>
      <c r="CY246" s="97"/>
      <c r="CZ246" s="97"/>
      <c r="DA246" s="97"/>
      <c r="DB246" s="97"/>
      <c r="DC246" s="97"/>
      <c r="DD246" s="97"/>
      <c r="DE246" s="97"/>
      <c r="DF246" s="97"/>
      <c r="DG246" s="97"/>
      <c r="DH246" s="97"/>
      <c r="DI246" s="97"/>
      <c r="DJ246" s="97"/>
      <c r="DK246" s="97"/>
      <c r="DL246" s="97"/>
      <c r="DM246" s="97"/>
      <c r="DN246" s="97"/>
      <c r="DO246" s="97"/>
      <c r="DP246" s="97"/>
      <c r="DQ246" s="97"/>
      <c r="DR246" s="97"/>
      <c r="DS246" s="97"/>
      <c r="DT246" s="97"/>
      <c r="DU246" s="97"/>
      <c r="DV246" s="97"/>
      <c r="DW246" s="97"/>
      <c r="DX246" s="97"/>
    </row>
    <row r="247" ht="14.25" customHeight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  <c r="AA247" s="97"/>
      <c r="AB247" s="97"/>
      <c r="AC247" s="97"/>
      <c r="AD247" s="97"/>
      <c r="AE247" s="97"/>
      <c r="AF247" s="97"/>
      <c r="AG247" s="97"/>
      <c r="AH247" s="97"/>
      <c r="AI247" s="97"/>
      <c r="AJ247" s="97"/>
      <c r="AK247" s="97"/>
      <c r="AL247" s="97"/>
      <c r="AM247" s="97"/>
      <c r="AN247" s="97"/>
      <c r="AO247" s="97"/>
      <c r="AP247" s="97"/>
      <c r="AQ247" s="97"/>
      <c r="AR247" s="97"/>
      <c r="AS247" s="97"/>
      <c r="AT247" s="97"/>
      <c r="AU247" s="97"/>
      <c r="AV247" s="97"/>
      <c r="AW247" s="97"/>
      <c r="AX247" s="97"/>
      <c r="AY247" s="97"/>
      <c r="AZ247" s="97"/>
      <c r="BA247" s="97"/>
      <c r="BB247" s="97"/>
      <c r="BC247" s="97"/>
      <c r="BD247" s="97"/>
      <c r="BE247" s="97"/>
      <c r="BF247" s="97"/>
      <c r="BG247" s="97"/>
      <c r="BH247" s="97"/>
      <c r="BI247" s="97"/>
      <c r="BJ247" s="97"/>
      <c r="BK247" s="97"/>
      <c r="BL247" s="97"/>
      <c r="BM247" s="97"/>
      <c r="BN247" s="97"/>
      <c r="BO247" s="97"/>
      <c r="BP247" s="97"/>
      <c r="BQ247" s="97"/>
      <c r="BR247" s="97"/>
      <c r="BS247" s="97"/>
      <c r="BT247" s="97"/>
      <c r="BU247" s="97"/>
      <c r="BV247" s="97"/>
      <c r="BW247" s="97"/>
      <c r="BX247" s="97"/>
      <c r="BY247" s="97"/>
      <c r="BZ247" s="97"/>
      <c r="CA247" s="97"/>
      <c r="CB247" s="97"/>
      <c r="CC247" s="97"/>
      <c r="CD247" s="97"/>
      <c r="CE247" s="97"/>
      <c r="CF247" s="97"/>
      <c r="CG247" s="97"/>
      <c r="CH247" s="97"/>
      <c r="CI247" s="97"/>
      <c r="CJ247" s="97"/>
      <c r="CK247" s="97"/>
      <c r="CL247" s="97"/>
      <c r="CM247" s="97"/>
      <c r="CN247" s="97"/>
      <c r="CO247" s="97"/>
      <c r="CP247" s="97"/>
      <c r="CQ247" s="97"/>
      <c r="CR247" s="97"/>
      <c r="CS247" s="97"/>
      <c r="CT247" s="97"/>
      <c r="CU247" s="97"/>
      <c r="CV247" s="97"/>
      <c r="CW247" s="97"/>
      <c r="CX247" s="97"/>
      <c r="CY247" s="97"/>
      <c r="CZ247" s="97"/>
      <c r="DA247" s="97"/>
      <c r="DB247" s="97"/>
      <c r="DC247" s="97"/>
      <c r="DD247" s="97"/>
      <c r="DE247" s="97"/>
      <c r="DF247" s="97"/>
      <c r="DG247" s="97"/>
      <c r="DH247" s="97"/>
      <c r="DI247" s="97"/>
      <c r="DJ247" s="97"/>
      <c r="DK247" s="97"/>
      <c r="DL247" s="97"/>
      <c r="DM247" s="97"/>
      <c r="DN247" s="97"/>
      <c r="DO247" s="97"/>
      <c r="DP247" s="97"/>
      <c r="DQ247" s="97"/>
      <c r="DR247" s="97"/>
      <c r="DS247" s="97"/>
      <c r="DT247" s="97"/>
      <c r="DU247" s="97"/>
      <c r="DV247" s="97"/>
      <c r="DW247" s="97"/>
      <c r="DX247" s="97"/>
    </row>
    <row r="248" ht="14.25" customHeight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  <c r="AA248" s="97"/>
      <c r="AB248" s="97"/>
      <c r="AC248" s="97"/>
      <c r="AD248" s="97"/>
      <c r="AE248" s="97"/>
      <c r="AF248" s="97"/>
      <c r="AG248" s="97"/>
      <c r="AH248" s="97"/>
      <c r="AI248" s="97"/>
      <c r="AJ248" s="97"/>
      <c r="AK248" s="97"/>
      <c r="AL248" s="97"/>
      <c r="AM248" s="97"/>
      <c r="AN248" s="97"/>
      <c r="AO248" s="97"/>
      <c r="AP248" s="97"/>
      <c r="AQ248" s="97"/>
      <c r="AR248" s="97"/>
      <c r="AS248" s="97"/>
      <c r="AT248" s="97"/>
      <c r="AU248" s="97"/>
      <c r="AV248" s="97"/>
      <c r="AW248" s="97"/>
      <c r="AX248" s="97"/>
      <c r="AY248" s="97"/>
      <c r="AZ248" s="97"/>
      <c r="BA248" s="97"/>
      <c r="BB248" s="97"/>
      <c r="BC248" s="97"/>
      <c r="BD248" s="97"/>
      <c r="BE248" s="97"/>
      <c r="BF248" s="97"/>
      <c r="BG248" s="97"/>
      <c r="BH248" s="97"/>
      <c r="BI248" s="97"/>
      <c r="BJ248" s="97"/>
      <c r="BK248" s="97"/>
      <c r="BL248" s="97"/>
      <c r="BM248" s="97"/>
      <c r="BN248" s="97"/>
      <c r="BO248" s="97"/>
      <c r="BP248" s="97"/>
      <c r="BQ248" s="97"/>
      <c r="BR248" s="97"/>
      <c r="BS248" s="97"/>
      <c r="BT248" s="97"/>
      <c r="BU248" s="97"/>
      <c r="BV248" s="97"/>
      <c r="BW248" s="97"/>
      <c r="BX248" s="97"/>
      <c r="BY248" s="97"/>
      <c r="BZ248" s="97"/>
      <c r="CA248" s="97"/>
      <c r="CB248" s="97"/>
      <c r="CC248" s="97"/>
      <c r="CD248" s="97"/>
      <c r="CE248" s="97"/>
      <c r="CF248" s="97"/>
      <c r="CG248" s="97"/>
      <c r="CH248" s="97"/>
      <c r="CI248" s="97"/>
      <c r="CJ248" s="97"/>
      <c r="CK248" s="97"/>
      <c r="CL248" s="97"/>
      <c r="CM248" s="97"/>
      <c r="CN248" s="97"/>
      <c r="CO248" s="97"/>
      <c r="CP248" s="97"/>
      <c r="CQ248" s="97"/>
      <c r="CR248" s="97"/>
      <c r="CS248" s="97"/>
      <c r="CT248" s="97"/>
      <c r="CU248" s="97"/>
      <c r="CV248" s="97"/>
      <c r="CW248" s="97"/>
      <c r="CX248" s="97"/>
      <c r="CY248" s="97"/>
      <c r="CZ248" s="97"/>
      <c r="DA248" s="97"/>
      <c r="DB248" s="97"/>
      <c r="DC248" s="97"/>
      <c r="DD248" s="97"/>
      <c r="DE248" s="97"/>
      <c r="DF248" s="97"/>
      <c r="DG248" s="97"/>
      <c r="DH248" s="97"/>
      <c r="DI248" s="97"/>
      <c r="DJ248" s="97"/>
      <c r="DK248" s="97"/>
      <c r="DL248" s="97"/>
      <c r="DM248" s="97"/>
      <c r="DN248" s="97"/>
      <c r="DO248" s="97"/>
      <c r="DP248" s="97"/>
      <c r="DQ248" s="97"/>
      <c r="DR248" s="97"/>
      <c r="DS248" s="97"/>
      <c r="DT248" s="97"/>
      <c r="DU248" s="97"/>
      <c r="DV248" s="97"/>
      <c r="DW248" s="97"/>
      <c r="DX248" s="97"/>
    </row>
    <row r="249" ht="14.25" customHeight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  <c r="AA249" s="97"/>
      <c r="AB249" s="97"/>
      <c r="AC249" s="97"/>
      <c r="AD249" s="97"/>
      <c r="AE249" s="97"/>
      <c r="AF249" s="97"/>
      <c r="AG249" s="97"/>
      <c r="AH249" s="97"/>
      <c r="AI249" s="97"/>
      <c r="AJ249" s="97"/>
      <c r="AK249" s="97"/>
      <c r="AL249" s="97"/>
      <c r="AM249" s="97"/>
      <c r="AN249" s="97"/>
      <c r="AO249" s="97"/>
      <c r="AP249" s="97"/>
      <c r="AQ249" s="97"/>
      <c r="AR249" s="97"/>
      <c r="AS249" s="97"/>
      <c r="AT249" s="97"/>
      <c r="AU249" s="97"/>
      <c r="AV249" s="97"/>
      <c r="AW249" s="97"/>
      <c r="AX249" s="97"/>
      <c r="AY249" s="97"/>
      <c r="AZ249" s="97"/>
      <c r="BA249" s="97"/>
      <c r="BB249" s="97"/>
      <c r="BC249" s="97"/>
      <c r="BD249" s="97"/>
      <c r="BE249" s="97"/>
      <c r="BF249" s="97"/>
      <c r="BG249" s="97"/>
      <c r="BH249" s="97"/>
      <c r="BI249" s="97"/>
      <c r="BJ249" s="97"/>
      <c r="BK249" s="97"/>
      <c r="BL249" s="97"/>
      <c r="BM249" s="97"/>
      <c r="BN249" s="97"/>
      <c r="BO249" s="97"/>
      <c r="BP249" s="97"/>
      <c r="BQ249" s="97"/>
      <c r="BR249" s="97"/>
      <c r="BS249" s="97"/>
      <c r="BT249" s="97"/>
      <c r="BU249" s="97"/>
      <c r="BV249" s="97"/>
      <c r="BW249" s="97"/>
      <c r="BX249" s="97"/>
      <c r="BY249" s="97"/>
      <c r="BZ249" s="97"/>
      <c r="CA249" s="97"/>
      <c r="CB249" s="97"/>
      <c r="CC249" s="97"/>
      <c r="CD249" s="97"/>
      <c r="CE249" s="97"/>
      <c r="CF249" s="97"/>
      <c r="CG249" s="97"/>
      <c r="CH249" s="97"/>
      <c r="CI249" s="97"/>
      <c r="CJ249" s="97"/>
      <c r="CK249" s="97"/>
      <c r="CL249" s="97"/>
      <c r="CM249" s="97"/>
      <c r="CN249" s="97"/>
      <c r="CO249" s="97"/>
      <c r="CP249" s="97"/>
      <c r="CQ249" s="97"/>
      <c r="CR249" s="97"/>
      <c r="CS249" s="97"/>
      <c r="CT249" s="97"/>
      <c r="CU249" s="97"/>
      <c r="CV249" s="97"/>
      <c r="CW249" s="97"/>
      <c r="CX249" s="97"/>
      <c r="CY249" s="97"/>
      <c r="CZ249" s="97"/>
      <c r="DA249" s="97"/>
      <c r="DB249" s="97"/>
      <c r="DC249" s="97"/>
      <c r="DD249" s="97"/>
      <c r="DE249" s="97"/>
      <c r="DF249" s="97"/>
      <c r="DG249" s="97"/>
      <c r="DH249" s="97"/>
      <c r="DI249" s="97"/>
      <c r="DJ249" s="97"/>
      <c r="DK249" s="97"/>
      <c r="DL249" s="97"/>
      <c r="DM249" s="97"/>
      <c r="DN249" s="97"/>
      <c r="DO249" s="97"/>
      <c r="DP249" s="97"/>
      <c r="DQ249" s="97"/>
      <c r="DR249" s="97"/>
      <c r="DS249" s="97"/>
      <c r="DT249" s="97"/>
      <c r="DU249" s="97"/>
      <c r="DV249" s="97"/>
      <c r="DW249" s="97"/>
      <c r="DX249" s="97"/>
    </row>
    <row r="250" ht="14.25" customHeight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  <c r="AA250" s="97"/>
      <c r="AB250" s="97"/>
      <c r="AC250" s="97"/>
      <c r="AD250" s="97"/>
      <c r="AE250" s="97"/>
      <c r="AF250" s="97"/>
      <c r="AG250" s="97"/>
      <c r="AH250" s="97"/>
      <c r="AI250" s="97"/>
      <c r="AJ250" s="97"/>
      <c r="AK250" s="97"/>
      <c r="AL250" s="97"/>
      <c r="AM250" s="97"/>
      <c r="AN250" s="97"/>
      <c r="AO250" s="97"/>
      <c r="AP250" s="97"/>
      <c r="AQ250" s="97"/>
      <c r="AR250" s="97"/>
      <c r="AS250" s="97"/>
      <c r="AT250" s="97"/>
      <c r="AU250" s="97"/>
      <c r="AV250" s="97"/>
      <c r="AW250" s="97"/>
      <c r="AX250" s="97"/>
      <c r="AY250" s="97"/>
      <c r="AZ250" s="97"/>
      <c r="BA250" s="97"/>
      <c r="BB250" s="97"/>
      <c r="BC250" s="97"/>
      <c r="BD250" s="97"/>
      <c r="BE250" s="97"/>
      <c r="BF250" s="97"/>
      <c r="BG250" s="97"/>
      <c r="BH250" s="97"/>
      <c r="BI250" s="97"/>
      <c r="BJ250" s="97"/>
      <c r="BK250" s="97"/>
      <c r="BL250" s="97"/>
      <c r="BM250" s="97"/>
      <c r="BN250" s="97"/>
      <c r="BO250" s="97"/>
      <c r="BP250" s="97"/>
      <c r="BQ250" s="97"/>
      <c r="BR250" s="97"/>
      <c r="BS250" s="97"/>
      <c r="BT250" s="97"/>
      <c r="BU250" s="97"/>
      <c r="BV250" s="97"/>
      <c r="BW250" s="97"/>
      <c r="BX250" s="97"/>
      <c r="BY250" s="97"/>
      <c r="BZ250" s="97"/>
      <c r="CA250" s="97"/>
      <c r="CB250" s="97"/>
      <c r="CC250" s="97"/>
      <c r="CD250" s="97"/>
      <c r="CE250" s="97"/>
      <c r="CF250" s="97"/>
      <c r="CG250" s="97"/>
      <c r="CH250" s="97"/>
      <c r="CI250" s="97"/>
      <c r="CJ250" s="97"/>
      <c r="CK250" s="97"/>
      <c r="CL250" s="97"/>
      <c r="CM250" s="97"/>
      <c r="CN250" s="97"/>
      <c r="CO250" s="97"/>
      <c r="CP250" s="97"/>
      <c r="CQ250" s="97"/>
      <c r="CR250" s="97"/>
      <c r="CS250" s="97"/>
      <c r="CT250" s="97"/>
      <c r="CU250" s="97"/>
      <c r="CV250" s="97"/>
      <c r="CW250" s="97"/>
      <c r="CX250" s="97"/>
      <c r="CY250" s="97"/>
      <c r="CZ250" s="97"/>
      <c r="DA250" s="97"/>
      <c r="DB250" s="97"/>
      <c r="DC250" s="97"/>
      <c r="DD250" s="97"/>
      <c r="DE250" s="97"/>
      <c r="DF250" s="97"/>
      <c r="DG250" s="97"/>
      <c r="DH250" s="97"/>
      <c r="DI250" s="97"/>
      <c r="DJ250" s="97"/>
      <c r="DK250" s="97"/>
      <c r="DL250" s="97"/>
      <c r="DM250" s="97"/>
      <c r="DN250" s="97"/>
      <c r="DO250" s="97"/>
      <c r="DP250" s="97"/>
      <c r="DQ250" s="97"/>
      <c r="DR250" s="97"/>
      <c r="DS250" s="97"/>
      <c r="DT250" s="97"/>
      <c r="DU250" s="97"/>
      <c r="DV250" s="97"/>
      <c r="DW250" s="97"/>
      <c r="DX250" s="97"/>
    </row>
    <row r="251" ht="14.25" customHeight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  <c r="AA251" s="97"/>
      <c r="AB251" s="97"/>
      <c r="AC251" s="97"/>
      <c r="AD251" s="97"/>
      <c r="AE251" s="97"/>
      <c r="AF251" s="97"/>
      <c r="AG251" s="97"/>
      <c r="AH251" s="97"/>
      <c r="AI251" s="97"/>
      <c r="AJ251" s="97"/>
      <c r="AK251" s="97"/>
      <c r="AL251" s="97"/>
      <c r="AM251" s="97"/>
      <c r="AN251" s="97"/>
      <c r="AO251" s="97"/>
      <c r="AP251" s="97"/>
      <c r="AQ251" s="97"/>
      <c r="AR251" s="97"/>
      <c r="AS251" s="97"/>
      <c r="AT251" s="97"/>
      <c r="AU251" s="97"/>
      <c r="AV251" s="97"/>
      <c r="AW251" s="97"/>
      <c r="AX251" s="97"/>
      <c r="AY251" s="97"/>
      <c r="AZ251" s="97"/>
      <c r="BA251" s="97"/>
      <c r="BB251" s="97"/>
      <c r="BC251" s="97"/>
      <c r="BD251" s="97"/>
      <c r="BE251" s="97"/>
      <c r="BF251" s="97"/>
      <c r="BG251" s="97"/>
      <c r="BH251" s="97"/>
      <c r="BI251" s="97"/>
      <c r="BJ251" s="97"/>
      <c r="BK251" s="97"/>
      <c r="BL251" s="97"/>
      <c r="BM251" s="97"/>
      <c r="BN251" s="97"/>
      <c r="BO251" s="97"/>
      <c r="BP251" s="97"/>
      <c r="BQ251" s="97"/>
      <c r="BR251" s="97"/>
      <c r="BS251" s="97"/>
      <c r="BT251" s="97"/>
      <c r="BU251" s="97"/>
      <c r="BV251" s="97"/>
      <c r="BW251" s="97"/>
      <c r="BX251" s="97"/>
      <c r="BY251" s="97"/>
      <c r="BZ251" s="97"/>
      <c r="CA251" s="97"/>
      <c r="CB251" s="97"/>
      <c r="CC251" s="97"/>
      <c r="CD251" s="97"/>
      <c r="CE251" s="97"/>
      <c r="CF251" s="97"/>
      <c r="CG251" s="97"/>
      <c r="CH251" s="97"/>
      <c r="CI251" s="97"/>
      <c r="CJ251" s="97"/>
      <c r="CK251" s="97"/>
      <c r="CL251" s="97"/>
      <c r="CM251" s="97"/>
      <c r="CN251" s="97"/>
      <c r="CO251" s="97"/>
      <c r="CP251" s="97"/>
      <c r="CQ251" s="97"/>
      <c r="CR251" s="97"/>
      <c r="CS251" s="97"/>
      <c r="CT251" s="97"/>
      <c r="CU251" s="97"/>
      <c r="CV251" s="97"/>
      <c r="CW251" s="97"/>
      <c r="CX251" s="97"/>
      <c r="CY251" s="97"/>
      <c r="CZ251" s="97"/>
      <c r="DA251" s="97"/>
      <c r="DB251" s="97"/>
      <c r="DC251" s="97"/>
      <c r="DD251" s="97"/>
      <c r="DE251" s="97"/>
      <c r="DF251" s="97"/>
      <c r="DG251" s="97"/>
      <c r="DH251" s="97"/>
      <c r="DI251" s="97"/>
      <c r="DJ251" s="97"/>
      <c r="DK251" s="97"/>
      <c r="DL251" s="97"/>
      <c r="DM251" s="97"/>
      <c r="DN251" s="97"/>
      <c r="DO251" s="97"/>
      <c r="DP251" s="97"/>
      <c r="DQ251" s="97"/>
      <c r="DR251" s="97"/>
      <c r="DS251" s="97"/>
      <c r="DT251" s="97"/>
      <c r="DU251" s="97"/>
      <c r="DV251" s="97"/>
      <c r="DW251" s="97"/>
      <c r="DX251" s="97"/>
    </row>
    <row r="252" ht="14.25" customHeight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  <c r="AA252" s="97"/>
      <c r="AB252" s="97"/>
      <c r="AC252" s="97"/>
      <c r="AD252" s="97"/>
      <c r="AE252" s="97"/>
      <c r="AF252" s="97"/>
      <c r="AG252" s="97"/>
      <c r="AH252" s="97"/>
      <c r="AI252" s="97"/>
      <c r="AJ252" s="97"/>
      <c r="AK252" s="97"/>
      <c r="AL252" s="97"/>
      <c r="AM252" s="97"/>
      <c r="AN252" s="97"/>
      <c r="AO252" s="97"/>
      <c r="AP252" s="97"/>
      <c r="AQ252" s="97"/>
      <c r="AR252" s="97"/>
      <c r="AS252" s="97"/>
      <c r="AT252" s="97"/>
      <c r="AU252" s="97"/>
      <c r="AV252" s="97"/>
      <c r="AW252" s="97"/>
      <c r="AX252" s="97"/>
      <c r="AY252" s="97"/>
      <c r="AZ252" s="97"/>
      <c r="BA252" s="97"/>
      <c r="BB252" s="97"/>
      <c r="BC252" s="97"/>
      <c r="BD252" s="97"/>
      <c r="BE252" s="97"/>
      <c r="BF252" s="97"/>
      <c r="BG252" s="97"/>
      <c r="BH252" s="97"/>
      <c r="BI252" s="97"/>
      <c r="BJ252" s="97"/>
      <c r="BK252" s="97"/>
      <c r="BL252" s="97"/>
      <c r="BM252" s="97"/>
      <c r="BN252" s="97"/>
      <c r="BO252" s="97"/>
      <c r="BP252" s="97"/>
      <c r="BQ252" s="97"/>
      <c r="BR252" s="97"/>
      <c r="BS252" s="97"/>
      <c r="BT252" s="97"/>
      <c r="BU252" s="97"/>
      <c r="BV252" s="97"/>
      <c r="BW252" s="97"/>
      <c r="BX252" s="97"/>
      <c r="BY252" s="97"/>
      <c r="BZ252" s="97"/>
      <c r="CA252" s="97"/>
      <c r="CB252" s="97"/>
      <c r="CC252" s="97"/>
      <c r="CD252" s="97"/>
      <c r="CE252" s="97"/>
      <c r="CF252" s="97"/>
      <c r="CG252" s="97"/>
      <c r="CH252" s="97"/>
      <c r="CI252" s="97"/>
      <c r="CJ252" s="97"/>
      <c r="CK252" s="97"/>
      <c r="CL252" s="97"/>
      <c r="CM252" s="97"/>
      <c r="CN252" s="97"/>
      <c r="CO252" s="97"/>
      <c r="CP252" s="97"/>
      <c r="CQ252" s="97"/>
      <c r="CR252" s="97"/>
      <c r="CS252" s="97"/>
      <c r="CT252" s="97"/>
      <c r="CU252" s="97"/>
      <c r="CV252" s="97"/>
      <c r="CW252" s="97"/>
      <c r="CX252" s="97"/>
      <c r="CY252" s="97"/>
      <c r="CZ252" s="97"/>
      <c r="DA252" s="97"/>
      <c r="DB252" s="97"/>
      <c r="DC252" s="97"/>
      <c r="DD252" s="97"/>
      <c r="DE252" s="97"/>
      <c r="DF252" s="97"/>
      <c r="DG252" s="97"/>
      <c r="DH252" s="97"/>
      <c r="DI252" s="97"/>
      <c r="DJ252" s="97"/>
      <c r="DK252" s="97"/>
      <c r="DL252" s="97"/>
      <c r="DM252" s="97"/>
      <c r="DN252" s="97"/>
      <c r="DO252" s="97"/>
      <c r="DP252" s="97"/>
      <c r="DQ252" s="97"/>
      <c r="DR252" s="97"/>
      <c r="DS252" s="97"/>
      <c r="DT252" s="97"/>
      <c r="DU252" s="97"/>
      <c r="DV252" s="97"/>
      <c r="DW252" s="97"/>
      <c r="DX252" s="97"/>
    </row>
    <row r="253" ht="14.25" customHeight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  <c r="AA253" s="97"/>
      <c r="AB253" s="97"/>
      <c r="AC253" s="97"/>
      <c r="AD253" s="97"/>
      <c r="AE253" s="97"/>
      <c r="AF253" s="97"/>
      <c r="AG253" s="97"/>
      <c r="AH253" s="97"/>
      <c r="AI253" s="97"/>
      <c r="AJ253" s="97"/>
      <c r="AK253" s="97"/>
      <c r="AL253" s="97"/>
      <c r="AM253" s="97"/>
      <c r="AN253" s="97"/>
      <c r="AO253" s="97"/>
      <c r="AP253" s="97"/>
      <c r="AQ253" s="97"/>
      <c r="AR253" s="97"/>
      <c r="AS253" s="97"/>
      <c r="AT253" s="97"/>
      <c r="AU253" s="97"/>
      <c r="AV253" s="97"/>
      <c r="AW253" s="97"/>
      <c r="AX253" s="97"/>
      <c r="AY253" s="97"/>
      <c r="AZ253" s="97"/>
      <c r="BA253" s="97"/>
      <c r="BB253" s="97"/>
      <c r="BC253" s="97"/>
      <c r="BD253" s="97"/>
      <c r="BE253" s="97"/>
      <c r="BF253" s="97"/>
      <c r="BG253" s="97"/>
      <c r="BH253" s="97"/>
      <c r="BI253" s="97"/>
      <c r="BJ253" s="97"/>
      <c r="BK253" s="97"/>
      <c r="BL253" s="97"/>
      <c r="BM253" s="97"/>
      <c r="BN253" s="97"/>
      <c r="BO253" s="97"/>
      <c r="BP253" s="97"/>
      <c r="BQ253" s="97"/>
      <c r="BR253" s="97"/>
      <c r="BS253" s="97"/>
      <c r="BT253" s="97"/>
      <c r="BU253" s="97"/>
      <c r="BV253" s="97"/>
      <c r="BW253" s="97"/>
      <c r="BX253" s="97"/>
      <c r="BY253" s="97"/>
      <c r="BZ253" s="97"/>
      <c r="CA253" s="97"/>
      <c r="CB253" s="97"/>
      <c r="CC253" s="97"/>
      <c r="CD253" s="97"/>
      <c r="CE253" s="97"/>
      <c r="CF253" s="97"/>
      <c r="CG253" s="97"/>
      <c r="CH253" s="97"/>
      <c r="CI253" s="97"/>
      <c r="CJ253" s="97"/>
      <c r="CK253" s="97"/>
      <c r="CL253" s="97"/>
      <c r="CM253" s="97"/>
      <c r="CN253" s="97"/>
      <c r="CO253" s="97"/>
      <c r="CP253" s="97"/>
      <c r="CQ253" s="97"/>
      <c r="CR253" s="97"/>
      <c r="CS253" s="97"/>
      <c r="CT253" s="97"/>
      <c r="CU253" s="97"/>
      <c r="CV253" s="97"/>
      <c r="CW253" s="97"/>
      <c r="CX253" s="97"/>
      <c r="CY253" s="97"/>
      <c r="CZ253" s="97"/>
      <c r="DA253" s="97"/>
      <c r="DB253" s="97"/>
      <c r="DC253" s="97"/>
      <c r="DD253" s="97"/>
      <c r="DE253" s="97"/>
      <c r="DF253" s="97"/>
      <c r="DG253" s="97"/>
      <c r="DH253" s="97"/>
      <c r="DI253" s="97"/>
      <c r="DJ253" s="97"/>
      <c r="DK253" s="97"/>
      <c r="DL253" s="97"/>
      <c r="DM253" s="97"/>
      <c r="DN253" s="97"/>
      <c r="DO253" s="97"/>
      <c r="DP253" s="97"/>
      <c r="DQ253" s="97"/>
      <c r="DR253" s="97"/>
      <c r="DS253" s="97"/>
      <c r="DT253" s="97"/>
      <c r="DU253" s="97"/>
      <c r="DV253" s="97"/>
      <c r="DW253" s="97"/>
      <c r="DX253" s="97"/>
    </row>
    <row r="254" ht="14.25" customHeight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  <c r="AA254" s="97"/>
      <c r="AB254" s="97"/>
      <c r="AC254" s="97"/>
      <c r="AD254" s="97"/>
      <c r="AE254" s="97"/>
      <c r="AF254" s="97"/>
      <c r="AG254" s="97"/>
      <c r="AH254" s="97"/>
      <c r="AI254" s="97"/>
      <c r="AJ254" s="97"/>
      <c r="AK254" s="97"/>
      <c r="AL254" s="97"/>
      <c r="AM254" s="97"/>
      <c r="AN254" s="97"/>
      <c r="AO254" s="97"/>
      <c r="AP254" s="97"/>
      <c r="AQ254" s="97"/>
      <c r="AR254" s="97"/>
      <c r="AS254" s="97"/>
      <c r="AT254" s="97"/>
      <c r="AU254" s="97"/>
      <c r="AV254" s="97"/>
      <c r="AW254" s="97"/>
      <c r="AX254" s="97"/>
      <c r="AY254" s="97"/>
      <c r="AZ254" s="97"/>
      <c r="BA254" s="97"/>
      <c r="BB254" s="97"/>
      <c r="BC254" s="97"/>
      <c r="BD254" s="97"/>
      <c r="BE254" s="97"/>
      <c r="BF254" s="97"/>
      <c r="BG254" s="97"/>
      <c r="BH254" s="97"/>
      <c r="BI254" s="97"/>
      <c r="BJ254" s="97"/>
      <c r="BK254" s="97"/>
      <c r="BL254" s="97"/>
      <c r="BM254" s="97"/>
      <c r="BN254" s="97"/>
      <c r="BO254" s="97"/>
      <c r="BP254" s="97"/>
      <c r="BQ254" s="97"/>
      <c r="BR254" s="97"/>
      <c r="BS254" s="97"/>
      <c r="BT254" s="97"/>
      <c r="BU254" s="97"/>
      <c r="BV254" s="97"/>
      <c r="BW254" s="97"/>
      <c r="BX254" s="97"/>
      <c r="BY254" s="97"/>
      <c r="BZ254" s="97"/>
      <c r="CA254" s="97"/>
      <c r="CB254" s="97"/>
      <c r="CC254" s="97"/>
      <c r="CD254" s="97"/>
      <c r="CE254" s="97"/>
      <c r="CF254" s="97"/>
      <c r="CG254" s="97"/>
      <c r="CH254" s="97"/>
      <c r="CI254" s="97"/>
      <c r="CJ254" s="97"/>
      <c r="CK254" s="97"/>
      <c r="CL254" s="97"/>
      <c r="CM254" s="97"/>
      <c r="CN254" s="97"/>
      <c r="CO254" s="97"/>
      <c r="CP254" s="97"/>
      <c r="CQ254" s="97"/>
      <c r="CR254" s="97"/>
      <c r="CS254" s="97"/>
      <c r="CT254" s="97"/>
      <c r="CU254" s="97"/>
      <c r="CV254" s="97"/>
      <c r="CW254" s="97"/>
      <c r="CX254" s="97"/>
      <c r="CY254" s="97"/>
      <c r="CZ254" s="97"/>
      <c r="DA254" s="97"/>
      <c r="DB254" s="97"/>
      <c r="DC254" s="97"/>
      <c r="DD254" s="97"/>
      <c r="DE254" s="97"/>
      <c r="DF254" s="97"/>
      <c r="DG254" s="97"/>
      <c r="DH254" s="97"/>
      <c r="DI254" s="97"/>
      <c r="DJ254" s="97"/>
      <c r="DK254" s="97"/>
      <c r="DL254" s="97"/>
      <c r="DM254" s="97"/>
      <c r="DN254" s="97"/>
      <c r="DO254" s="97"/>
      <c r="DP254" s="97"/>
      <c r="DQ254" s="97"/>
      <c r="DR254" s="97"/>
      <c r="DS254" s="97"/>
      <c r="DT254" s="97"/>
      <c r="DU254" s="97"/>
      <c r="DV254" s="97"/>
      <c r="DW254" s="97"/>
      <c r="DX254" s="97"/>
    </row>
    <row r="255" ht="14.25" customHeight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  <c r="AA255" s="97"/>
      <c r="AB255" s="97"/>
      <c r="AC255" s="97"/>
      <c r="AD255" s="97"/>
      <c r="AE255" s="97"/>
      <c r="AF255" s="97"/>
      <c r="AG255" s="97"/>
      <c r="AH255" s="97"/>
      <c r="AI255" s="97"/>
      <c r="AJ255" s="97"/>
      <c r="AK255" s="97"/>
      <c r="AL255" s="97"/>
      <c r="AM255" s="97"/>
      <c r="AN255" s="97"/>
      <c r="AO255" s="97"/>
      <c r="AP255" s="97"/>
      <c r="AQ255" s="97"/>
      <c r="AR255" s="97"/>
      <c r="AS255" s="97"/>
      <c r="AT255" s="97"/>
      <c r="AU255" s="97"/>
      <c r="AV255" s="97"/>
      <c r="AW255" s="97"/>
      <c r="AX255" s="97"/>
      <c r="AY255" s="97"/>
      <c r="AZ255" s="97"/>
      <c r="BA255" s="97"/>
      <c r="BB255" s="97"/>
      <c r="BC255" s="97"/>
      <c r="BD255" s="97"/>
      <c r="BE255" s="97"/>
      <c r="BF255" s="97"/>
      <c r="BG255" s="97"/>
      <c r="BH255" s="97"/>
      <c r="BI255" s="97"/>
      <c r="BJ255" s="97"/>
      <c r="BK255" s="97"/>
      <c r="BL255" s="97"/>
      <c r="BM255" s="97"/>
      <c r="BN255" s="97"/>
      <c r="BO255" s="97"/>
      <c r="BP255" s="97"/>
      <c r="BQ255" s="97"/>
      <c r="BR255" s="97"/>
      <c r="BS255" s="97"/>
      <c r="BT255" s="97"/>
      <c r="BU255" s="97"/>
      <c r="BV255" s="97"/>
      <c r="BW255" s="97"/>
      <c r="BX255" s="97"/>
      <c r="BY255" s="97"/>
      <c r="BZ255" s="97"/>
      <c r="CA255" s="97"/>
      <c r="CB255" s="97"/>
      <c r="CC255" s="97"/>
      <c r="CD255" s="97"/>
      <c r="CE255" s="97"/>
      <c r="CF255" s="97"/>
      <c r="CG255" s="97"/>
      <c r="CH255" s="97"/>
      <c r="CI255" s="97"/>
      <c r="CJ255" s="97"/>
      <c r="CK255" s="97"/>
      <c r="CL255" s="97"/>
      <c r="CM255" s="97"/>
      <c r="CN255" s="97"/>
      <c r="CO255" s="97"/>
      <c r="CP255" s="97"/>
      <c r="CQ255" s="97"/>
      <c r="CR255" s="97"/>
      <c r="CS255" s="97"/>
      <c r="CT255" s="97"/>
      <c r="CU255" s="97"/>
      <c r="CV255" s="97"/>
      <c r="CW255" s="97"/>
      <c r="CX255" s="97"/>
      <c r="CY255" s="97"/>
      <c r="CZ255" s="97"/>
      <c r="DA255" s="97"/>
      <c r="DB255" s="97"/>
      <c r="DC255" s="97"/>
      <c r="DD255" s="97"/>
      <c r="DE255" s="97"/>
      <c r="DF255" s="97"/>
      <c r="DG255" s="97"/>
      <c r="DH255" s="97"/>
      <c r="DI255" s="97"/>
      <c r="DJ255" s="97"/>
      <c r="DK255" s="97"/>
      <c r="DL255" s="97"/>
      <c r="DM255" s="97"/>
      <c r="DN255" s="97"/>
      <c r="DO255" s="97"/>
      <c r="DP255" s="97"/>
      <c r="DQ255" s="97"/>
      <c r="DR255" s="97"/>
      <c r="DS255" s="97"/>
      <c r="DT255" s="97"/>
      <c r="DU255" s="97"/>
      <c r="DV255" s="97"/>
      <c r="DW255" s="97"/>
      <c r="DX255" s="97"/>
    </row>
    <row r="256" ht="14.25" customHeight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  <c r="AA256" s="97"/>
      <c r="AB256" s="97"/>
      <c r="AC256" s="97"/>
      <c r="AD256" s="97"/>
      <c r="AE256" s="97"/>
      <c r="AF256" s="97"/>
      <c r="AG256" s="97"/>
      <c r="AH256" s="97"/>
      <c r="AI256" s="97"/>
      <c r="AJ256" s="97"/>
      <c r="AK256" s="97"/>
      <c r="AL256" s="97"/>
      <c r="AM256" s="97"/>
      <c r="AN256" s="97"/>
      <c r="AO256" s="97"/>
      <c r="AP256" s="97"/>
      <c r="AQ256" s="97"/>
      <c r="AR256" s="97"/>
      <c r="AS256" s="97"/>
      <c r="AT256" s="97"/>
      <c r="AU256" s="97"/>
      <c r="AV256" s="97"/>
      <c r="AW256" s="97"/>
      <c r="AX256" s="97"/>
      <c r="AY256" s="97"/>
      <c r="AZ256" s="97"/>
      <c r="BA256" s="97"/>
      <c r="BB256" s="97"/>
      <c r="BC256" s="97"/>
      <c r="BD256" s="97"/>
      <c r="BE256" s="97"/>
      <c r="BF256" s="97"/>
      <c r="BG256" s="97"/>
      <c r="BH256" s="97"/>
      <c r="BI256" s="97"/>
      <c r="BJ256" s="97"/>
      <c r="BK256" s="97"/>
      <c r="BL256" s="97"/>
      <c r="BM256" s="97"/>
      <c r="BN256" s="97"/>
      <c r="BO256" s="97"/>
      <c r="BP256" s="97"/>
      <c r="BQ256" s="97"/>
      <c r="BR256" s="97"/>
      <c r="BS256" s="97"/>
      <c r="BT256" s="97"/>
      <c r="BU256" s="97"/>
      <c r="BV256" s="97"/>
      <c r="BW256" s="97"/>
      <c r="BX256" s="97"/>
      <c r="BY256" s="97"/>
      <c r="BZ256" s="97"/>
      <c r="CA256" s="97"/>
      <c r="CB256" s="97"/>
      <c r="CC256" s="97"/>
      <c r="CD256" s="97"/>
      <c r="CE256" s="97"/>
      <c r="CF256" s="97"/>
      <c r="CG256" s="97"/>
      <c r="CH256" s="97"/>
      <c r="CI256" s="97"/>
      <c r="CJ256" s="97"/>
      <c r="CK256" s="97"/>
      <c r="CL256" s="97"/>
      <c r="CM256" s="97"/>
      <c r="CN256" s="97"/>
      <c r="CO256" s="97"/>
      <c r="CP256" s="97"/>
      <c r="CQ256" s="97"/>
      <c r="CR256" s="97"/>
      <c r="CS256" s="97"/>
      <c r="CT256" s="97"/>
      <c r="CU256" s="97"/>
      <c r="CV256" s="97"/>
      <c r="CW256" s="97"/>
      <c r="CX256" s="97"/>
      <c r="CY256" s="97"/>
      <c r="CZ256" s="97"/>
      <c r="DA256" s="97"/>
      <c r="DB256" s="97"/>
      <c r="DC256" s="97"/>
      <c r="DD256" s="97"/>
      <c r="DE256" s="97"/>
      <c r="DF256" s="97"/>
      <c r="DG256" s="97"/>
      <c r="DH256" s="97"/>
      <c r="DI256" s="97"/>
      <c r="DJ256" s="97"/>
      <c r="DK256" s="97"/>
      <c r="DL256" s="97"/>
      <c r="DM256" s="97"/>
      <c r="DN256" s="97"/>
      <c r="DO256" s="97"/>
      <c r="DP256" s="97"/>
      <c r="DQ256" s="97"/>
      <c r="DR256" s="97"/>
      <c r="DS256" s="97"/>
      <c r="DT256" s="97"/>
      <c r="DU256" s="97"/>
      <c r="DV256" s="97"/>
      <c r="DW256" s="97"/>
      <c r="DX256" s="97"/>
    </row>
    <row r="257" ht="14.25" customHeight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  <c r="AA257" s="97"/>
      <c r="AB257" s="97"/>
      <c r="AC257" s="97"/>
      <c r="AD257" s="97"/>
      <c r="AE257" s="97"/>
      <c r="AF257" s="97"/>
      <c r="AG257" s="97"/>
      <c r="AH257" s="97"/>
      <c r="AI257" s="97"/>
      <c r="AJ257" s="97"/>
      <c r="AK257" s="97"/>
      <c r="AL257" s="97"/>
      <c r="AM257" s="97"/>
      <c r="AN257" s="97"/>
      <c r="AO257" s="97"/>
      <c r="AP257" s="97"/>
      <c r="AQ257" s="97"/>
      <c r="AR257" s="97"/>
      <c r="AS257" s="97"/>
      <c r="AT257" s="97"/>
      <c r="AU257" s="97"/>
      <c r="AV257" s="97"/>
      <c r="AW257" s="97"/>
      <c r="AX257" s="97"/>
      <c r="AY257" s="97"/>
      <c r="AZ257" s="97"/>
      <c r="BA257" s="97"/>
      <c r="BB257" s="97"/>
      <c r="BC257" s="97"/>
      <c r="BD257" s="97"/>
      <c r="BE257" s="97"/>
      <c r="BF257" s="97"/>
      <c r="BG257" s="97"/>
      <c r="BH257" s="97"/>
      <c r="BI257" s="97"/>
      <c r="BJ257" s="97"/>
      <c r="BK257" s="97"/>
      <c r="BL257" s="97"/>
      <c r="BM257" s="97"/>
      <c r="BN257" s="97"/>
      <c r="BO257" s="97"/>
      <c r="BP257" s="97"/>
      <c r="BQ257" s="97"/>
      <c r="BR257" s="97"/>
      <c r="BS257" s="97"/>
      <c r="BT257" s="97"/>
      <c r="BU257" s="97"/>
      <c r="BV257" s="97"/>
      <c r="BW257" s="97"/>
      <c r="BX257" s="97"/>
      <c r="BY257" s="97"/>
      <c r="BZ257" s="97"/>
      <c r="CA257" s="97"/>
      <c r="CB257" s="97"/>
      <c r="CC257" s="97"/>
      <c r="CD257" s="97"/>
      <c r="CE257" s="97"/>
      <c r="CF257" s="97"/>
      <c r="CG257" s="97"/>
      <c r="CH257" s="97"/>
      <c r="CI257" s="97"/>
      <c r="CJ257" s="97"/>
      <c r="CK257" s="97"/>
      <c r="CL257" s="97"/>
      <c r="CM257" s="97"/>
      <c r="CN257" s="97"/>
      <c r="CO257" s="97"/>
      <c r="CP257" s="97"/>
      <c r="CQ257" s="97"/>
      <c r="CR257" s="97"/>
      <c r="CS257" s="97"/>
      <c r="CT257" s="97"/>
      <c r="CU257" s="97"/>
      <c r="CV257" s="97"/>
      <c r="CW257" s="97"/>
      <c r="CX257" s="97"/>
      <c r="CY257" s="97"/>
      <c r="CZ257" s="97"/>
      <c r="DA257" s="97"/>
      <c r="DB257" s="97"/>
      <c r="DC257" s="97"/>
      <c r="DD257" s="97"/>
      <c r="DE257" s="97"/>
      <c r="DF257" s="97"/>
      <c r="DG257" s="97"/>
      <c r="DH257" s="97"/>
      <c r="DI257" s="97"/>
      <c r="DJ257" s="97"/>
      <c r="DK257" s="97"/>
      <c r="DL257" s="97"/>
      <c r="DM257" s="97"/>
      <c r="DN257" s="97"/>
      <c r="DO257" s="97"/>
      <c r="DP257" s="97"/>
      <c r="DQ257" s="97"/>
      <c r="DR257" s="97"/>
      <c r="DS257" s="97"/>
      <c r="DT257" s="97"/>
      <c r="DU257" s="97"/>
      <c r="DV257" s="97"/>
      <c r="DW257" s="97"/>
      <c r="DX257" s="97"/>
    </row>
    <row r="258" ht="14.25" customHeight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  <c r="AA258" s="97"/>
      <c r="AB258" s="97"/>
      <c r="AC258" s="97"/>
      <c r="AD258" s="97"/>
      <c r="AE258" s="97"/>
      <c r="AF258" s="97"/>
      <c r="AG258" s="97"/>
      <c r="AH258" s="97"/>
      <c r="AI258" s="97"/>
      <c r="AJ258" s="97"/>
      <c r="AK258" s="97"/>
      <c r="AL258" s="97"/>
      <c r="AM258" s="97"/>
      <c r="AN258" s="97"/>
      <c r="AO258" s="97"/>
      <c r="AP258" s="97"/>
      <c r="AQ258" s="97"/>
      <c r="AR258" s="97"/>
      <c r="AS258" s="97"/>
      <c r="AT258" s="97"/>
      <c r="AU258" s="97"/>
      <c r="AV258" s="97"/>
      <c r="AW258" s="97"/>
      <c r="AX258" s="97"/>
      <c r="AY258" s="97"/>
      <c r="AZ258" s="97"/>
      <c r="BA258" s="97"/>
      <c r="BB258" s="97"/>
      <c r="BC258" s="97"/>
      <c r="BD258" s="97"/>
      <c r="BE258" s="97"/>
      <c r="BF258" s="97"/>
      <c r="BG258" s="97"/>
      <c r="BH258" s="97"/>
      <c r="BI258" s="97"/>
      <c r="BJ258" s="97"/>
      <c r="BK258" s="97"/>
      <c r="BL258" s="97"/>
      <c r="BM258" s="97"/>
      <c r="BN258" s="97"/>
      <c r="BO258" s="97"/>
      <c r="BP258" s="97"/>
      <c r="BQ258" s="97"/>
      <c r="BR258" s="97"/>
      <c r="BS258" s="97"/>
      <c r="BT258" s="97"/>
      <c r="BU258" s="97"/>
      <c r="BV258" s="97"/>
      <c r="BW258" s="97"/>
      <c r="BX258" s="97"/>
      <c r="BY258" s="97"/>
      <c r="BZ258" s="97"/>
      <c r="CA258" s="97"/>
      <c r="CB258" s="97"/>
      <c r="CC258" s="97"/>
      <c r="CD258" s="97"/>
      <c r="CE258" s="97"/>
      <c r="CF258" s="97"/>
      <c r="CG258" s="97"/>
      <c r="CH258" s="97"/>
      <c r="CI258" s="97"/>
      <c r="CJ258" s="97"/>
      <c r="CK258" s="97"/>
      <c r="CL258" s="97"/>
      <c r="CM258" s="97"/>
      <c r="CN258" s="97"/>
      <c r="CO258" s="97"/>
      <c r="CP258" s="97"/>
      <c r="CQ258" s="97"/>
      <c r="CR258" s="97"/>
      <c r="CS258" s="97"/>
      <c r="CT258" s="97"/>
      <c r="CU258" s="97"/>
      <c r="CV258" s="97"/>
      <c r="CW258" s="97"/>
      <c r="CX258" s="97"/>
      <c r="CY258" s="97"/>
      <c r="CZ258" s="97"/>
      <c r="DA258" s="97"/>
      <c r="DB258" s="97"/>
      <c r="DC258" s="97"/>
      <c r="DD258" s="97"/>
      <c r="DE258" s="97"/>
      <c r="DF258" s="97"/>
      <c r="DG258" s="97"/>
      <c r="DH258" s="97"/>
      <c r="DI258" s="97"/>
      <c r="DJ258" s="97"/>
      <c r="DK258" s="97"/>
      <c r="DL258" s="97"/>
      <c r="DM258" s="97"/>
      <c r="DN258" s="97"/>
      <c r="DO258" s="97"/>
      <c r="DP258" s="97"/>
      <c r="DQ258" s="97"/>
      <c r="DR258" s="97"/>
      <c r="DS258" s="97"/>
      <c r="DT258" s="97"/>
      <c r="DU258" s="97"/>
      <c r="DV258" s="97"/>
      <c r="DW258" s="97"/>
      <c r="DX258" s="97"/>
    </row>
    <row r="259" ht="14.25" customHeight="1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  <c r="AA259" s="97"/>
      <c r="AB259" s="97"/>
      <c r="AC259" s="97"/>
      <c r="AD259" s="97"/>
      <c r="AE259" s="97"/>
      <c r="AF259" s="97"/>
      <c r="AG259" s="97"/>
      <c r="AH259" s="97"/>
      <c r="AI259" s="97"/>
      <c r="AJ259" s="97"/>
      <c r="AK259" s="97"/>
      <c r="AL259" s="97"/>
      <c r="AM259" s="97"/>
      <c r="AN259" s="97"/>
      <c r="AO259" s="97"/>
      <c r="AP259" s="97"/>
      <c r="AQ259" s="97"/>
      <c r="AR259" s="97"/>
      <c r="AS259" s="97"/>
      <c r="AT259" s="97"/>
      <c r="AU259" s="97"/>
      <c r="AV259" s="97"/>
      <c r="AW259" s="97"/>
      <c r="AX259" s="97"/>
      <c r="AY259" s="97"/>
      <c r="AZ259" s="97"/>
      <c r="BA259" s="97"/>
      <c r="BB259" s="97"/>
      <c r="BC259" s="97"/>
      <c r="BD259" s="97"/>
      <c r="BE259" s="97"/>
      <c r="BF259" s="97"/>
      <c r="BG259" s="97"/>
      <c r="BH259" s="97"/>
      <c r="BI259" s="97"/>
      <c r="BJ259" s="97"/>
      <c r="BK259" s="97"/>
      <c r="BL259" s="97"/>
      <c r="BM259" s="97"/>
      <c r="BN259" s="97"/>
      <c r="BO259" s="97"/>
      <c r="BP259" s="97"/>
      <c r="BQ259" s="97"/>
      <c r="BR259" s="97"/>
      <c r="BS259" s="97"/>
      <c r="BT259" s="97"/>
      <c r="BU259" s="97"/>
      <c r="BV259" s="97"/>
      <c r="BW259" s="97"/>
      <c r="BX259" s="97"/>
      <c r="BY259" s="97"/>
      <c r="BZ259" s="97"/>
      <c r="CA259" s="97"/>
      <c r="CB259" s="97"/>
      <c r="CC259" s="97"/>
      <c r="CD259" s="97"/>
      <c r="CE259" s="97"/>
      <c r="CF259" s="97"/>
      <c r="CG259" s="97"/>
      <c r="CH259" s="97"/>
      <c r="CI259" s="97"/>
      <c r="CJ259" s="97"/>
      <c r="CK259" s="97"/>
      <c r="CL259" s="97"/>
      <c r="CM259" s="97"/>
      <c r="CN259" s="97"/>
      <c r="CO259" s="97"/>
      <c r="CP259" s="97"/>
      <c r="CQ259" s="97"/>
      <c r="CR259" s="97"/>
      <c r="CS259" s="97"/>
      <c r="CT259" s="97"/>
      <c r="CU259" s="97"/>
      <c r="CV259" s="97"/>
      <c r="CW259" s="97"/>
      <c r="CX259" s="97"/>
      <c r="CY259" s="97"/>
      <c r="CZ259" s="97"/>
      <c r="DA259" s="97"/>
      <c r="DB259" s="97"/>
      <c r="DC259" s="97"/>
      <c r="DD259" s="97"/>
      <c r="DE259" s="97"/>
      <c r="DF259" s="97"/>
      <c r="DG259" s="97"/>
      <c r="DH259" s="97"/>
      <c r="DI259" s="97"/>
      <c r="DJ259" s="97"/>
      <c r="DK259" s="97"/>
      <c r="DL259" s="97"/>
      <c r="DM259" s="97"/>
      <c r="DN259" s="97"/>
      <c r="DO259" s="97"/>
      <c r="DP259" s="97"/>
      <c r="DQ259" s="97"/>
      <c r="DR259" s="97"/>
      <c r="DS259" s="97"/>
      <c r="DT259" s="97"/>
      <c r="DU259" s="97"/>
      <c r="DV259" s="97"/>
      <c r="DW259" s="97"/>
      <c r="DX259" s="97"/>
    </row>
    <row r="260" ht="14.25" customHeight="1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  <c r="AA260" s="97"/>
      <c r="AB260" s="97"/>
      <c r="AC260" s="97"/>
      <c r="AD260" s="97"/>
      <c r="AE260" s="97"/>
      <c r="AF260" s="97"/>
      <c r="AG260" s="97"/>
      <c r="AH260" s="97"/>
      <c r="AI260" s="97"/>
      <c r="AJ260" s="97"/>
      <c r="AK260" s="97"/>
      <c r="AL260" s="97"/>
      <c r="AM260" s="97"/>
      <c r="AN260" s="97"/>
      <c r="AO260" s="97"/>
      <c r="AP260" s="97"/>
      <c r="AQ260" s="97"/>
      <c r="AR260" s="97"/>
      <c r="AS260" s="97"/>
      <c r="AT260" s="97"/>
      <c r="AU260" s="97"/>
      <c r="AV260" s="97"/>
      <c r="AW260" s="97"/>
      <c r="AX260" s="97"/>
      <c r="AY260" s="97"/>
      <c r="AZ260" s="97"/>
      <c r="BA260" s="97"/>
      <c r="BB260" s="97"/>
      <c r="BC260" s="97"/>
      <c r="BD260" s="97"/>
      <c r="BE260" s="97"/>
      <c r="BF260" s="97"/>
      <c r="BG260" s="97"/>
      <c r="BH260" s="97"/>
      <c r="BI260" s="97"/>
      <c r="BJ260" s="97"/>
      <c r="BK260" s="97"/>
      <c r="BL260" s="97"/>
      <c r="BM260" s="97"/>
      <c r="BN260" s="97"/>
      <c r="BO260" s="97"/>
      <c r="BP260" s="97"/>
      <c r="BQ260" s="97"/>
      <c r="BR260" s="97"/>
      <c r="BS260" s="97"/>
      <c r="BT260" s="97"/>
      <c r="BU260" s="97"/>
      <c r="BV260" s="97"/>
      <c r="BW260" s="97"/>
      <c r="BX260" s="97"/>
      <c r="BY260" s="97"/>
      <c r="BZ260" s="97"/>
      <c r="CA260" s="97"/>
      <c r="CB260" s="97"/>
      <c r="CC260" s="97"/>
      <c r="CD260" s="97"/>
      <c r="CE260" s="97"/>
      <c r="CF260" s="97"/>
      <c r="CG260" s="97"/>
      <c r="CH260" s="97"/>
      <c r="CI260" s="97"/>
      <c r="CJ260" s="97"/>
      <c r="CK260" s="97"/>
      <c r="CL260" s="97"/>
      <c r="CM260" s="97"/>
      <c r="CN260" s="97"/>
      <c r="CO260" s="97"/>
      <c r="CP260" s="97"/>
      <c r="CQ260" s="97"/>
      <c r="CR260" s="97"/>
      <c r="CS260" s="97"/>
      <c r="CT260" s="97"/>
      <c r="CU260" s="97"/>
      <c r="CV260" s="97"/>
      <c r="CW260" s="97"/>
      <c r="CX260" s="97"/>
      <c r="CY260" s="97"/>
      <c r="CZ260" s="97"/>
      <c r="DA260" s="97"/>
      <c r="DB260" s="97"/>
      <c r="DC260" s="97"/>
      <c r="DD260" s="97"/>
      <c r="DE260" s="97"/>
      <c r="DF260" s="97"/>
      <c r="DG260" s="97"/>
      <c r="DH260" s="97"/>
      <c r="DI260" s="97"/>
      <c r="DJ260" s="97"/>
      <c r="DK260" s="97"/>
      <c r="DL260" s="97"/>
      <c r="DM260" s="97"/>
      <c r="DN260" s="97"/>
      <c r="DO260" s="97"/>
      <c r="DP260" s="97"/>
      <c r="DQ260" s="97"/>
      <c r="DR260" s="97"/>
      <c r="DS260" s="97"/>
      <c r="DT260" s="97"/>
      <c r="DU260" s="97"/>
      <c r="DV260" s="97"/>
      <c r="DW260" s="97"/>
      <c r="DX260" s="97"/>
    </row>
  </sheetData>
  <mergeCells count="58">
    <mergeCell ref="DV62:DW62"/>
    <mergeCell ref="DV63:DW63"/>
    <mergeCell ref="DV55:DW55"/>
    <mergeCell ref="DV56:DW56"/>
    <mergeCell ref="DV57:DW57"/>
    <mergeCell ref="DV58:DW58"/>
    <mergeCell ref="DV59:DW59"/>
    <mergeCell ref="DV60:DW60"/>
    <mergeCell ref="DV61:DW61"/>
    <mergeCell ref="B1:DU7"/>
    <mergeCell ref="B8:AM9"/>
    <mergeCell ref="DO8:DW9"/>
    <mergeCell ref="DS10:DT10"/>
    <mergeCell ref="DV10:DW10"/>
    <mergeCell ref="DV11:DW11"/>
    <mergeCell ref="DV12:DW12"/>
    <mergeCell ref="DV13:DW13"/>
    <mergeCell ref="DV14:DW14"/>
    <mergeCell ref="DV15:DW15"/>
    <mergeCell ref="DV16:DW16"/>
    <mergeCell ref="DV17:DW17"/>
    <mergeCell ref="DV18:DW18"/>
    <mergeCell ref="DV19:DW19"/>
    <mergeCell ref="DV20:DW20"/>
    <mergeCell ref="DV21:DW21"/>
    <mergeCell ref="DV22:DW22"/>
    <mergeCell ref="DV23:DW23"/>
    <mergeCell ref="DV24:DW24"/>
    <mergeCell ref="DV25:DW25"/>
    <mergeCell ref="DV26:DW26"/>
    <mergeCell ref="DV27:DW27"/>
    <mergeCell ref="DV28:DW28"/>
    <mergeCell ref="DV29:DW29"/>
    <mergeCell ref="DV30:DW30"/>
    <mergeCell ref="DV31:DW31"/>
    <mergeCell ref="DV32:DW32"/>
    <mergeCell ref="DV33:DW33"/>
    <mergeCell ref="DV34:DW34"/>
    <mergeCell ref="DV35:DW35"/>
    <mergeCell ref="DV36:DW36"/>
    <mergeCell ref="DV37:DW37"/>
    <mergeCell ref="DV38:DW38"/>
    <mergeCell ref="DV39:DW39"/>
    <mergeCell ref="DV40:DW40"/>
    <mergeCell ref="DV41:DW41"/>
    <mergeCell ref="DV42:DW42"/>
    <mergeCell ref="DV43:DW43"/>
    <mergeCell ref="DV44:DW44"/>
    <mergeCell ref="DV45:DW45"/>
    <mergeCell ref="DV46:DW46"/>
    <mergeCell ref="DV47:DW47"/>
    <mergeCell ref="DV48:DW48"/>
    <mergeCell ref="DV49:DW49"/>
    <mergeCell ref="DV50:DW50"/>
    <mergeCell ref="DV51:DW51"/>
    <mergeCell ref="DV52:DW52"/>
    <mergeCell ref="DV53:DW53"/>
    <mergeCell ref="DV54:DW54"/>
  </mergeCells>
  <conditionalFormatting sqref="X11:X58">
    <cfRule type="cellIs" dxfId="4" priority="1" stopIfTrue="1" operator="greaterThan">
      <formula>30</formula>
    </cfRule>
  </conditionalFormatting>
  <conditionalFormatting sqref="X11:X58">
    <cfRule type="cellIs" dxfId="5" priority="2" stopIfTrue="1" operator="lessThan">
      <formula>15</formula>
    </cfRule>
  </conditionalFormatting>
  <conditionalFormatting sqref="CN11:DA58">
    <cfRule type="cellIs" dxfId="6" priority="3" stopIfTrue="1" operator="lessThan">
      <formula>-0.3</formula>
    </cfRule>
  </conditionalFormatting>
  <conditionalFormatting sqref="DC11:DN58">
    <cfRule type="cellIs" dxfId="7" priority="4" stopIfTrue="1" operator="between">
      <formula>0.01</formula>
      <formula>2</formula>
    </cfRule>
  </conditionalFormatting>
  <conditionalFormatting sqref="DC11:DN58">
    <cfRule type="cellIs" dxfId="8" priority="5" stopIfTrue="1" operator="between">
      <formula>6.001</formula>
      <formula>8</formula>
    </cfRule>
  </conditionalFormatting>
  <conditionalFormatting sqref="DC11:DN58">
    <cfRule type="cellIs" dxfId="9" priority="6" stopIfTrue="1" operator="between">
      <formula>8.001</formula>
      <formula>10</formula>
    </cfRule>
  </conditionalFormatting>
  <conditionalFormatting sqref="DC11:DN58">
    <cfRule type="cellIs" dxfId="10" priority="7" stopIfTrue="1" operator="greaterThan">
      <formula>10.001</formula>
    </cfRule>
  </conditionalFormatting>
  <conditionalFormatting sqref="AM11:AM60">
    <cfRule type="cellIs" dxfId="11" priority="8" operator="lessThan">
      <formula>10</formula>
    </cfRule>
  </conditionalFormatting>
  <conditionalFormatting sqref="AM11:AM60">
    <cfRule type="cellIs" dxfId="12" priority="9" operator="between">
      <formula>11</formula>
      <formula>19</formula>
    </cfRule>
  </conditionalFormatting>
  <conditionalFormatting sqref="AM11:AM60">
    <cfRule type="cellIs" dxfId="13" priority="10" operator="greaterThan">
      <formula>20</formula>
    </cfRule>
  </conditionalFormatting>
  <conditionalFormatting sqref="Q11:Q12">
    <cfRule type="cellIs" dxfId="11" priority="11" operator="lessThan">
      <formula>10</formula>
    </cfRule>
  </conditionalFormatting>
  <conditionalFormatting sqref="P11:P12">
    <cfRule type="cellIs" dxfId="11" priority="12" operator="lessThan">
      <formula>10</formula>
    </cfRule>
  </conditionalFormatting>
  <conditionalFormatting sqref="N11:N12">
    <cfRule type="cellIs" dxfId="11" priority="13" operator="lessThan">
      <formula>10</formula>
    </cfRule>
  </conditionalFormatting>
  <conditionalFormatting sqref="Q11:Q60">
    <cfRule type="cellIs" dxfId="11" priority="14" operator="lessThan">
      <formula>10</formula>
    </cfRule>
  </conditionalFormatting>
  <conditionalFormatting sqref="P11:P60">
    <cfRule type="cellIs" dxfId="11" priority="15" operator="lessThan">
      <formula>10</formula>
    </cfRule>
  </conditionalFormatting>
  <conditionalFormatting sqref="N11">
    <cfRule type="cellIs" dxfId="11" priority="16" operator="lessThan">
      <formula>10</formula>
    </cfRule>
  </conditionalFormatting>
  <printOptions/>
  <pageMargins bottom="0.75" footer="0.0" header="0.0" left="0.5" right="0.5" top="0.75"/>
  <pageSetup orientation="portrait"/>
  <headerFooter>
    <oddFooter>&amp;C000000&amp;P</oddFooter>
  </headerFooter>
  <drawing r:id="rId1"/>
  <tableParts count="1">
    <tablePart r:id="rId3"/>
  </tableParts>
</worksheet>
</file>